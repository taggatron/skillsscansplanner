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defaultThemeVersion="166925"/>
  <mc:AlternateContent xmlns:mc="http://schemas.openxmlformats.org/markup-compatibility/2006">
    <mc:Choice Requires="x15">
      <x15ac:absPath xmlns:x15ac="http://schemas.microsoft.com/office/spreadsheetml/2010/11/ac" url="/Users/danieltagg/Downloads/"/>
    </mc:Choice>
  </mc:AlternateContent>
  <xr:revisionPtr revIDLastSave="0" documentId="8_{77EDF4BD-1F03-E44A-A0B6-C74D9E7B83CE}" xr6:coauthVersionLast="47" xr6:coauthVersionMax="47" xr10:uidLastSave="{00000000-0000-0000-0000-000000000000}"/>
  <bookViews>
    <workbookView xWindow="4420" yWindow="660" windowWidth="25820" windowHeight="18980" xr2:uid="{00000000-000D-0000-FFFF-FFFF00000000}"/>
  </bookViews>
  <sheets>
    <sheet name="AP Health" sheetId="1" r:id="rId1"/>
    <sheet name="RPL Calculator"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3" l="1"/>
  <c r="C5" i="3"/>
  <c r="C6" i="3" s="1"/>
  <c r="C8" i="3" l="1"/>
  <c r="C11" i="3" s="1"/>
  <c r="C13" i="3" s="1"/>
  <c r="C15" i="3" s="1"/>
  <c r="C16" i="3" s="1"/>
</calcChain>
</file>

<file path=xl/sharedStrings.xml><?xml version="1.0" encoding="utf-8"?>
<sst xmlns="http://schemas.openxmlformats.org/spreadsheetml/2006/main" count="104" uniqueCount="103">
  <si>
    <t>Skills Scan: Assistant Practitioner (Health)</t>
  </si>
  <si>
    <t>Please score your currently level of knowledge/understanding of the topic on a scale from 0-10</t>
  </si>
  <si>
    <t xml:space="preserve">Reference </t>
  </si>
  <si>
    <t>0-3 (No Knowledge)</t>
  </si>
  <si>
    <t>K = Knowledge</t>
  </si>
  <si>
    <t>4-7 (Some knowledge)</t>
  </si>
  <si>
    <t>S = Skill</t>
  </si>
  <si>
    <t>8-9 (Strong knowledge)</t>
  </si>
  <si>
    <t xml:space="preserve">B = Behaviour </t>
  </si>
  <si>
    <t>10  (Full understanding and believe have the knowledge to pass End Point Assessment (EPA).  If you score 10 we will remove this element from your training plan and you will be expected to complete any work for this without further Training from South Devon College.)</t>
  </si>
  <si>
    <t>Learner Score 0-10</t>
  </si>
  <si>
    <t xml:space="preserve">Comments to reflect Score/evidence </t>
  </si>
  <si>
    <t>Working to protocol</t>
  </si>
  <si>
    <t>S1 K1</t>
  </si>
  <si>
    <t>Explain and demonstrate how to adhere to the protocols, legislations, policies, standards and codes of conduct that apply to the role of an assistant practitioner in your everyday work.</t>
  </si>
  <si>
    <t>Name</t>
  </si>
  <si>
    <t>Sign</t>
  </si>
  <si>
    <t>Date</t>
  </si>
  <si>
    <t>K2 S2 B3</t>
  </si>
  <si>
    <t>Explain and demonstrate how you work within the limits of your scope of practice and competence when carrying out your everyday work, being reliable, consistent and adaptable and recognising when and who to ask for support.</t>
  </si>
  <si>
    <t>Learner Signature</t>
  </si>
  <si>
    <t>K3 S3</t>
  </si>
  <si>
    <t>Explain and demonstrate how to work in partnership with others to provide and promote equitable, non-discriminatory, person-centred, safe care and support to an individual, seeking consent and encouraging the individual's active participation and choice.</t>
  </si>
  <si>
    <t>Employer Signature</t>
  </si>
  <si>
    <t>K4 S4</t>
  </si>
  <si>
    <t>Explain and demonstrate how to apply the principles of a duty of care, safeguarding and protection to promote and maintain the best interest of an individual, recognising the signs of harm and abuse, and how you do this when you are working with or linking to other agencies and organisations.</t>
  </si>
  <si>
    <t xml:space="preserve">SDC Staff Member </t>
  </si>
  <si>
    <t>Assessment of individuals</t>
  </si>
  <si>
    <t>K6 K7 S6 S7</t>
  </si>
  <si>
    <t>Explain and demonstrate how to assess an individual's physical and mental healthcare and wellbeing status using the correct equipment and tools relevant to the individual's needs, recognising and acting upon any changes or signs that the individual may be experiencing pain, distress or discomfort and considering the factors that may influence and impact on the assessment.</t>
  </si>
  <si>
    <t>K5 S5</t>
  </si>
  <si>
    <t>Explain and demonstrate the use the correct equipment, tools and techniques to undertake and monitor physiological, technical or psychological measurements for an individual, recognising when these measurements vary from the normal range, working within your own scope of practice.</t>
  </si>
  <si>
    <t>Provision of care</t>
  </si>
  <si>
    <t>K8 K9 S8 S9</t>
  </si>
  <si>
    <t>Explin and demonstrate how you support individuals, making changes or recommendations to a care plan based on your assessment results and overall health and wellbeing, requirements for food and nutrition including nutrition and fluid balance, recognising changes and escalating, intervening or taking the correct action as required by the individual's symptoms, circumstances and care plan.</t>
  </si>
  <si>
    <t>B1 K10 S10</t>
  </si>
  <si>
    <t>Explain and demonstrate how you adhere to delegation protocols when undertaking an evidence-based intervention for an individual, working to standard operating procedures, treating the person with dignity and selecting the correct tools and equipment for the intervention.</t>
  </si>
  <si>
    <t>K34 K35 K36</t>
  </si>
  <si>
    <t>Explain and demonstrate how to provide care to an individual and can demonstrate an understanding of the structure and function of the human body systems and your relationship to each other, the principles and philosophies of healthcare and the stages and processes of human development relevant to the individual and the context of the care being provided.</t>
  </si>
  <si>
    <t>Information governance</t>
  </si>
  <si>
    <t>K12 K13 S12 S13</t>
  </si>
  <si>
    <t>Explain and demonstrate how to adhere to legal and local requirements for recording, storing, reporting, disclosing and sharing information and data, including using technology safely, maintaining confidentiality and respecting a duty of confidence.</t>
  </si>
  <si>
    <t>Health and safety</t>
  </si>
  <si>
    <t>K29 S29</t>
  </si>
  <si>
    <t>Evidence how you promote and monitor a safe and healthy environment for yourself and others by using the correct infection prevention and control for the task and complying with the correct policy and procedures including explaining how to handle hazardous materials and substances safely.</t>
  </si>
  <si>
    <t>S30 K30</t>
  </si>
  <si>
    <t>Explain and demonstrate the principles of safe moving, or assistance of an individual, equipment or another item safely in line with policy and procedure.</t>
  </si>
  <si>
    <t>K11 S11</t>
  </si>
  <si>
    <t>Discuss how changes in the health and wellbeing of an individual are monitored and reviewed, explaining the impact that a clinical, diagnostic or therapeutic intervention had upon a condition and how the signs that an individual’s health and wellbeing may change as a result of the intervention. Evidence of critically evaluating at least two different clinical, diagnostic or therapeutic interventions describing the benefits of one over another and giving evidence-based examples of the impact on the individual and your condition.</t>
  </si>
  <si>
    <t>K18 S18</t>
  </si>
  <si>
    <t>Explain mental capacity and the differences between mental illness, dementia and learning disability and the impact of these conditions using examples from your own experience to describe an instance when you recognised and responded to limitations in mental capacity adapting your intervention accordingly.</t>
  </si>
  <si>
    <t>Communication</t>
  </si>
  <si>
    <t>K16 S16 B2</t>
  </si>
  <si>
    <t>Explain and demonstrate the different methods of communication used in the workplace, giving real-life examples of techniques you have used to communicate with and about individuals and those you work with, showing respect and empathy, analysing how you have overcome barriers and challenges, and reviewing how your communication has facilitated understanding.</t>
  </si>
  <si>
    <t>K17 S17</t>
  </si>
  <si>
    <t>Explain the use and benefits of digital solutions for improving communication systems and practices. Critically evaluate the forms of communication used in the workplace, including digital systems, giving examples of your own real-life experiences and comparing and contrasting your own approach in different circumstances and assessing the outcome for individuals.</t>
  </si>
  <si>
    <t>Teamwork, role modelling and leadership</t>
  </si>
  <si>
    <t>K14 S14</t>
  </si>
  <si>
    <t>Justify when and why you have delegated work to others in the multi-disciplinary team, acting in line with and engaging with the delegation, accountability and supervision protocols in the workplace.</t>
  </si>
  <si>
    <t>K15 S15</t>
  </si>
  <si>
    <t>Evidence &amp; analyse the structural and strategic environment in which health and social care services operate, explaining who you liaise with within the multi-disciplinary team and how you work together to prioritise and manage workloads.</t>
  </si>
  <si>
    <t>K22 S22</t>
  </si>
  <si>
    <t>Compare and contrast leadership styles and principles in the workplace, giving examples of how leadership and management impacts on your own role and summarising instances when you have acted as a role-model to others. Critically evaluate your own leadership style and critiques examples of leadership, management and supervision you have experienced, including how the different styles have impacted on themselves and others.</t>
  </si>
  <si>
    <t>CPD and reflection</t>
  </si>
  <si>
    <t>K19 S19</t>
  </si>
  <si>
    <t>Explain and demonstrate how you have actively taken part in training and development, reviewing how it has impacted on your own practice, and describing how you identify and evaluate your own learning needs and noting how these have been addressed.</t>
  </si>
  <si>
    <t>K20 S20</t>
  </si>
  <si>
    <t>Evidence of your own role in appraisal explaining when you have sought and responded to feedback and how this has impacted on the creation of your personal development plan and ongoing learning journey.</t>
  </si>
  <si>
    <t>K21 S21</t>
  </si>
  <si>
    <t>Describe how reflection can be used to improve practice and explains how you have used reflective models and adapted the way you work and the impact this has had on your own work. Reflect on evaluates your own experiences of becoming a reflective practitioner analysing and predicting your future requirements for ongoing CPD.</t>
  </si>
  <si>
    <t>Empowering and educating</t>
  </si>
  <si>
    <t>K23 K24 S23 S24</t>
  </si>
  <si>
    <t>Explain how you have identified the learning needs and styles of others, the strategies, tools and techniques you have applied to teach, coach and mentor them, describing the difference between these activities and analying how you evaluated whether the individual’s learning needs were met. Critically evaluate the strategies, tools and techniques used for teaching, coaching and mentoring justifying your conclusions using  real life examples and analysis of the impact of learning activities.</t>
  </si>
  <si>
    <t>K25 S25</t>
  </si>
  <si>
    <t>Explains how you actively empower and educated individuals to maximise your own health and well-being clarifying how these opportunities link to national and local strategies, priorities and initiatives for promoting and improving public health.</t>
  </si>
  <si>
    <t>K26 S26</t>
  </si>
  <si>
    <t>Evidence when you have promoted preventative health behaviours and supported individuals to make informed choices to improve your health and wellbeing  justifying your input by relating any decisions taken or advice given to the wider determinants of  health.</t>
  </si>
  <si>
    <t>Quality improvement and research</t>
  </si>
  <si>
    <t>K31 S31</t>
  </si>
  <si>
    <t>Discuss the methods and indicators used to measure quality explaining own role in audit or a quality improvement activity, clarifying how these methods and indicators are used to inform and develop a quality improvement plan</t>
  </si>
  <si>
    <t>K32 S32</t>
  </si>
  <si>
    <t>Summarise your own role in conducting research activities, assessing the rationale and ethical considerations for undertaking the research activity and how you used a literature review or interrogated an existing evidence base and describing how you acted on your findings</t>
  </si>
  <si>
    <t>K33 S33</t>
  </si>
  <si>
    <t>Evaluate the opportunities you have had to improve quality in the workplace explaining how you have collected and interpreted research data and applied the findings to your own practice or to support local, regional or national quality improvement initiatives. Critically evaluates the different methods of data collection, comparing and contrasting how the data can be used to inform quality improvement initiatives and your own work</t>
  </si>
  <si>
    <t>Risk management, health and safety</t>
  </si>
  <si>
    <t>K27 S27</t>
  </si>
  <si>
    <t>Evidence of conducting and recording risk assessments relevant to the activity in line with local, national organisational policies and procedures. Critically evaluates the methods for conducting and recording risk assessments within the scope of your own practice.</t>
  </si>
  <si>
    <t>K28 S28</t>
  </si>
  <si>
    <t>Describe instances where you have managed challenging situations and unsafe work practices, addressing comments, compliments, conflict and complaints, and evaluating how you have upheld the principles of a duty of candour.</t>
  </si>
  <si>
    <t>Funding Matrix Calculator</t>
  </si>
  <si>
    <t>Delivery Hours of Programme</t>
  </si>
  <si>
    <t xml:space="preserve">Please include the OTJ hours from the Plan of Training for this box </t>
  </si>
  <si>
    <t>Number of KSB's</t>
  </si>
  <si>
    <t>Number of Hours Per KSB</t>
  </si>
  <si>
    <t>This is worked out for you based on the amount of hours to teach and the amount of KSB's needed.</t>
  </si>
  <si>
    <t>Number of Skill Met at Grade 10</t>
  </si>
  <si>
    <t>Programme Hours reduced by</t>
  </si>
  <si>
    <t>Standard Value</t>
  </si>
  <si>
    <t>Reduction Amount Based on Skills Met</t>
  </si>
  <si>
    <t>We only reduce the course by 50% of this vaule</t>
  </si>
  <si>
    <t>Revised Standard Value</t>
  </si>
  <si>
    <t>Total Deduction</t>
  </si>
  <si>
    <t>Total Deduction as a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</si>
</sst>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809]#,##0.00"/>
  </numFmts>
  <fonts count="18" x14ac:knownFonts="1">
    <font>
      <sz val="11"/>
      <color theme="1"/>
      <name val="Calibri"/>
      <family val="2"/>
      <scheme val="minor"/>
    </font>
    <font>
      <sz val="11"/>
      <color rgb="FFFF0000"/>
      <name val="Calibri"/>
      <family val="2"/>
      <scheme val="minor"/>
    </font>
    <font>
      <b/>
      <sz val="20"/>
      <color rgb="FFFF0000"/>
      <name val="Calibri"/>
      <family val="2"/>
      <scheme val="minor"/>
    </font>
    <font>
      <sz val="12"/>
      <color rgb="FFFF0000"/>
      <name val="Calibri"/>
      <family val="2"/>
      <scheme val="minor"/>
    </font>
    <font>
      <sz val="11"/>
      <color theme="1"/>
      <name val="Calibri"/>
      <family val="2"/>
      <scheme val="minor"/>
    </font>
    <font>
      <sz val="11"/>
      <color theme="0"/>
      <name val="Calibri"/>
      <family val="2"/>
      <scheme val="minor"/>
    </font>
    <font>
      <b/>
      <sz val="14"/>
      <color rgb="FF000000"/>
      <name val="Calibri"/>
      <family val="2"/>
      <scheme val="minor"/>
    </font>
    <font>
      <b/>
      <sz val="22"/>
      <color theme="1"/>
      <name val="Arial"/>
      <family val="2"/>
    </font>
    <font>
      <sz val="11"/>
      <color theme="1"/>
      <name val="Arial"/>
      <family val="2"/>
    </font>
    <font>
      <b/>
      <sz val="16"/>
      <color theme="1"/>
      <name val="Arial"/>
      <family val="2"/>
    </font>
    <font>
      <b/>
      <sz val="11"/>
      <color theme="1"/>
      <name val="Arial"/>
      <family val="2"/>
    </font>
    <font>
      <b/>
      <sz val="11"/>
      <color theme="1"/>
      <name val="Arial"/>
      <family val="2"/>
    </font>
    <font>
      <b/>
      <sz val="16"/>
      <color theme="1"/>
      <name val="Arial"/>
      <family val="2"/>
    </font>
    <font>
      <b/>
      <sz val="16"/>
      <color theme="1"/>
      <name val="Calibri"/>
      <family val="2"/>
      <scheme val="minor"/>
    </font>
    <font>
      <b/>
      <sz val="20"/>
      <name val="Calibri"/>
      <family val="2"/>
      <scheme val="minor"/>
    </font>
    <font>
      <sz val="11"/>
      <color rgb="FF334047"/>
      <name val="Open Sans"/>
      <charset val="1"/>
    </font>
    <font>
      <sz val="11"/>
      <color rgb="FF334047"/>
      <name val="Open Sans"/>
      <family val="2"/>
    </font>
    <font>
      <sz val="12"/>
      <color rgb="FF000000"/>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B4C6E7"/>
        <bgColor indexed="64"/>
      </patternFill>
    </fill>
    <fill>
      <patternFill patternType="solid">
        <fgColor rgb="FFFFC000"/>
        <bgColor indexed="64"/>
      </patternFill>
    </fill>
    <fill>
      <patternFill patternType="solid">
        <fgColor rgb="FFFFFFFF"/>
        <bgColor indexed="64"/>
      </patternFill>
    </fill>
    <fill>
      <patternFill patternType="solid">
        <fgColor rgb="FFF4B084"/>
        <bgColor indexed="64"/>
      </patternFill>
    </fill>
    <fill>
      <patternFill patternType="solid">
        <fgColor rgb="FFC9C9C9"/>
        <bgColor indexed="64"/>
      </patternFill>
    </fill>
    <fill>
      <patternFill patternType="solid">
        <fgColor theme="0"/>
        <bgColor indexed="64"/>
      </patternFill>
    </fill>
    <fill>
      <patternFill patternType="solid">
        <fgColor rgb="FFFFF2CC"/>
        <bgColor indexed="64"/>
      </patternFill>
    </fill>
    <fill>
      <patternFill patternType="solid">
        <fgColor theme="7" tint="0.79998168889431442"/>
        <bgColor indexed="64"/>
      </patternFill>
    </fill>
    <fill>
      <patternFill patternType="solid">
        <fgColor theme="2" tint="-9.9978637043366805E-2"/>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rgb="FF000000"/>
      </left>
      <right style="medium">
        <color rgb="FF000000"/>
      </right>
      <top style="medium">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9" fontId="4" fillId="0" borderId="0" applyFont="0" applyFill="0" applyBorder="0" applyAlignment="0" applyProtection="0"/>
  </cellStyleXfs>
  <cellXfs count="87">
    <xf numFmtId="0" fontId="0" fillId="0" borderId="0" xfId="0"/>
    <xf numFmtId="0" fontId="0" fillId="0" borderId="0" xfId="0" applyAlignment="1">
      <alignment wrapText="1"/>
    </xf>
    <xf numFmtId="0" fontId="0" fillId="6" borderId="0" xfId="0" applyFill="1"/>
    <xf numFmtId="0" fontId="0" fillId="6" borderId="0" xfId="0" applyFill="1" applyAlignment="1">
      <alignment wrapText="1"/>
    </xf>
    <xf numFmtId="0" fontId="0" fillId="0" borderId="1" xfId="0" applyBorder="1" applyAlignment="1">
      <alignment wrapText="1"/>
    </xf>
    <xf numFmtId="0" fontId="0" fillId="0" borderId="4" xfId="0" applyBorder="1" applyAlignment="1">
      <alignment wrapText="1"/>
    </xf>
    <xf numFmtId="0" fontId="0" fillId="9" borderId="0" xfId="0" applyFill="1"/>
    <xf numFmtId="0" fontId="8" fillId="9" borderId="0" xfId="0" applyFont="1" applyFill="1"/>
    <xf numFmtId="0" fontId="9" fillId="5" borderId="0" xfId="0" applyFont="1" applyFill="1"/>
    <xf numFmtId="0" fontId="9" fillId="10" borderId="2" xfId="0" applyFont="1" applyFill="1" applyBorder="1"/>
    <xf numFmtId="0" fontId="10" fillId="9" borderId="0" xfId="0" applyFont="1" applyFill="1"/>
    <xf numFmtId="0" fontId="9" fillId="11" borderId="6" xfId="0" applyFont="1" applyFill="1" applyBorder="1" applyProtection="1">
      <protection locked="0"/>
    </xf>
    <xf numFmtId="0" fontId="11" fillId="6" borderId="0" xfId="0" applyFont="1" applyFill="1" applyAlignment="1">
      <alignment vertical="center" wrapText="1"/>
    </xf>
    <xf numFmtId="0" fontId="9" fillId="11" borderId="7" xfId="0" applyFont="1" applyFill="1" applyBorder="1"/>
    <xf numFmtId="0" fontId="9" fillId="11" borderId="7" xfId="0" applyFont="1" applyFill="1" applyBorder="1" applyProtection="1">
      <protection locked="0"/>
    </xf>
    <xf numFmtId="9" fontId="8" fillId="6" borderId="0" xfId="0" applyNumberFormat="1" applyFont="1" applyFill="1" applyAlignment="1">
      <alignment vertical="center" wrapText="1"/>
    </xf>
    <xf numFmtId="2" fontId="9" fillId="12" borderId="7" xfId="1" applyNumberFormat="1" applyFont="1" applyFill="1" applyBorder="1"/>
    <xf numFmtId="17" fontId="11" fillId="6" borderId="0" xfId="0" quotePrefix="1" applyNumberFormat="1" applyFont="1" applyFill="1" applyAlignment="1">
      <alignment vertical="center" wrapText="1"/>
    </xf>
    <xf numFmtId="0" fontId="9" fillId="9" borderId="0" xfId="0" applyFont="1" applyFill="1"/>
    <xf numFmtId="164" fontId="9" fillId="11" borderId="7" xfId="0" applyNumberFormat="1" applyFont="1" applyFill="1" applyBorder="1" applyProtection="1">
      <protection locked="0"/>
    </xf>
    <xf numFmtId="165" fontId="9" fillId="12" borderId="7" xfId="1" applyNumberFormat="1" applyFont="1" applyFill="1" applyBorder="1"/>
    <xf numFmtId="164" fontId="9" fillId="12" borderId="7" xfId="0" applyNumberFormat="1" applyFont="1" applyFill="1" applyBorder="1"/>
    <xf numFmtId="0" fontId="11" fillId="0" borderId="0" xfId="0" applyFont="1" applyAlignment="1">
      <alignment vertical="center" wrapText="1"/>
    </xf>
    <xf numFmtId="0" fontId="8" fillId="0" borderId="0" xfId="0" applyFont="1" applyAlignment="1">
      <alignment vertical="center" wrapText="1"/>
    </xf>
    <xf numFmtId="0" fontId="12" fillId="5" borderId="0" xfId="0" applyFont="1" applyFill="1"/>
    <xf numFmtId="164" fontId="13" fillId="10" borderId="8" xfId="0" applyNumberFormat="1" applyFont="1" applyFill="1" applyBorder="1"/>
    <xf numFmtId="10" fontId="13" fillId="10" borderId="2" xfId="0" applyNumberFormat="1" applyFont="1" applyFill="1" applyBorder="1"/>
    <xf numFmtId="0" fontId="0" fillId="3" borderId="9" xfId="0" applyFill="1" applyBorder="1"/>
    <xf numFmtId="0" fontId="0" fillId="8" borderId="9" xfId="0" applyFill="1" applyBorder="1"/>
    <xf numFmtId="0" fontId="3" fillId="9" borderId="0" xfId="0" applyFont="1" applyFill="1" applyAlignment="1">
      <alignment vertical="center" wrapText="1"/>
    </xf>
    <xf numFmtId="0" fontId="3" fillId="9" borderId="0" xfId="0" applyFont="1" applyFill="1" applyAlignment="1">
      <alignment horizontal="center" vertical="center" wrapText="1"/>
    </xf>
    <xf numFmtId="0" fontId="2" fillId="9" borderId="0" xfId="0" applyFont="1" applyFill="1" applyAlignment="1">
      <alignment horizontal="center"/>
    </xf>
    <xf numFmtId="0" fontId="0" fillId="9" borderId="0" xfId="0" applyFill="1" applyAlignment="1">
      <alignment wrapText="1"/>
    </xf>
    <xf numFmtId="0" fontId="0" fillId="6" borderId="9" xfId="0" applyFill="1" applyBorder="1" applyAlignment="1">
      <alignment horizontal="center" vertical="top" wrapText="1"/>
    </xf>
    <xf numFmtId="0" fontId="1" fillId="2" borderId="9" xfId="0" applyFont="1" applyFill="1" applyBorder="1"/>
    <xf numFmtId="0" fontId="0" fillId="7" borderId="9" xfId="0" applyFill="1" applyBorder="1"/>
    <xf numFmtId="0" fontId="5" fillId="12" borderId="13" xfId="0" applyFont="1" applyFill="1" applyBorder="1" applyAlignment="1">
      <alignment horizontal="centerContinuous" wrapText="1"/>
    </xf>
    <xf numFmtId="0" fontId="1" fillId="9" borderId="0" xfId="0" applyFont="1" applyFill="1" applyAlignment="1">
      <alignment horizontal="center" vertical="top"/>
    </xf>
    <xf numFmtId="0" fontId="0" fillId="6" borderId="0" xfId="0" applyFill="1" applyAlignment="1">
      <alignment horizontal="center" vertical="top"/>
    </xf>
    <xf numFmtId="0" fontId="0" fillId="9" borderId="0" xfId="0" applyFill="1" applyAlignment="1">
      <alignment horizontal="center" vertical="top"/>
    </xf>
    <xf numFmtId="0" fontId="0" fillId="0" borderId="1" xfId="0" applyBorder="1" applyAlignment="1">
      <alignment horizontal="center" vertical="top"/>
    </xf>
    <xf numFmtId="0" fontId="0" fillId="0" borderId="0" xfId="0" applyAlignment="1">
      <alignment horizontal="center" vertical="top"/>
    </xf>
    <xf numFmtId="0" fontId="0" fillId="9" borderId="0" xfId="0" applyFill="1" applyAlignment="1">
      <alignment horizontal="left" vertical="top"/>
    </xf>
    <xf numFmtId="0" fontId="0" fillId="6" borderId="0" xfId="0" applyFill="1" applyAlignment="1">
      <alignment horizontal="left" vertical="top"/>
    </xf>
    <xf numFmtId="0" fontId="0" fillId="0" borderId="0" xfId="0" applyAlignment="1">
      <alignment horizontal="left" vertical="top"/>
    </xf>
    <xf numFmtId="0" fontId="0" fillId="3" borderId="9" xfId="0" applyFill="1" applyBorder="1" applyAlignment="1">
      <alignment horizontal="left" vertical="top"/>
    </xf>
    <xf numFmtId="0" fontId="0" fillId="3" borderId="1" xfId="0" applyFill="1" applyBorder="1" applyAlignment="1">
      <alignment horizontal="left" vertical="top"/>
    </xf>
    <xf numFmtId="0" fontId="14" fillId="12" borderId="14" xfId="0" applyFont="1" applyFill="1" applyBorder="1" applyAlignment="1">
      <alignment horizontal="centerContinuous" vertical="center"/>
    </xf>
    <xf numFmtId="0" fontId="5" fillId="12" borderId="12" xfId="0" applyFont="1" applyFill="1" applyBorder="1" applyAlignment="1">
      <alignment horizontal="centerContinuous" vertical="top"/>
    </xf>
    <xf numFmtId="0" fontId="6" fillId="4" borderId="15" xfId="0" applyFont="1" applyFill="1" applyBorder="1" applyAlignment="1">
      <alignment horizontal="centerContinuous" vertical="center"/>
    </xf>
    <xf numFmtId="0" fontId="6" fillId="4" borderId="16" xfId="0" applyFont="1" applyFill="1" applyBorder="1" applyAlignment="1">
      <alignment horizontal="centerContinuous" vertical="top"/>
    </xf>
    <xf numFmtId="0" fontId="6" fillId="4" borderId="17" xfId="0" applyFont="1" applyFill="1" applyBorder="1" applyAlignment="1">
      <alignment horizontal="centerContinuous" vertical="center"/>
    </xf>
    <xf numFmtId="0" fontId="0" fillId="0" borderId="9" xfId="0" applyBorder="1" applyAlignment="1">
      <alignment horizontal="center" vertical="top"/>
    </xf>
    <xf numFmtId="0" fontId="0" fillId="0" borderId="9" xfId="0" applyBorder="1" applyAlignment="1">
      <alignment wrapText="1"/>
    </xf>
    <xf numFmtId="0" fontId="0" fillId="3" borderId="18" xfId="0" applyFill="1" applyBorder="1" applyAlignment="1">
      <alignment horizontal="left" vertical="top" wrapText="1"/>
    </xf>
    <xf numFmtId="0" fontId="0" fillId="3" borderId="19" xfId="0" applyFill="1" applyBorder="1" applyAlignment="1">
      <alignment horizontal="left" vertical="top"/>
    </xf>
    <xf numFmtId="0" fontId="0" fillId="3" borderId="11" xfId="0" applyFill="1" applyBorder="1" applyAlignment="1">
      <alignment horizontal="left" vertical="top"/>
    </xf>
    <xf numFmtId="0" fontId="0" fillId="0" borderId="5" xfId="0" applyBorder="1" applyAlignment="1">
      <alignment horizontal="center" vertical="top"/>
    </xf>
    <xf numFmtId="0" fontId="0" fillId="0" borderId="10" xfId="0" applyBorder="1" applyAlignment="1">
      <alignment horizontal="center" vertical="top"/>
    </xf>
    <xf numFmtId="0" fontId="0" fillId="3" borderId="18" xfId="0" applyFill="1" applyBorder="1" applyAlignment="1">
      <alignment horizontal="left" vertical="top"/>
    </xf>
    <xf numFmtId="0" fontId="6" fillId="4" borderId="20" xfId="0" applyFont="1" applyFill="1" applyBorder="1" applyAlignment="1">
      <alignment horizontal="centerContinuous" vertical="center"/>
    </xf>
    <xf numFmtId="0" fontId="6" fillId="4" borderId="21" xfId="0" applyFont="1" applyFill="1" applyBorder="1" applyAlignment="1">
      <alignment horizontal="centerContinuous" vertical="top"/>
    </xf>
    <xf numFmtId="0" fontId="6" fillId="4" borderId="22" xfId="0" applyFont="1" applyFill="1" applyBorder="1" applyAlignment="1">
      <alignment horizontal="centerContinuous" vertical="center"/>
    </xf>
    <xf numFmtId="0" fontId="0" fillId="0" borderId="3" xfId="0" applyBorder="1" applyAlignment="1">
      <alignment horizontal="center" vertical="top"/>
    </xf>
    <xf numFmtId="0" fontId="0" fillId="3" borderId="1" xfId="0" applyFill="1" applyBorder="1" applyAlignment="1">
      <alignment horizontal="left" vertical="top" wrapText="1"/>
    </xf>
    <xf numFmtId="0" fontId="15" fillId="0" borderId="0" xfId="0" applyFont="1" applyAlignment="1">
      <alignment wrapText="1"/>
    </xf>
    <xf numFmtId="0" fontId="6" fillId="4" borderId="1" xfId="0" applyFont="1" applyFill="1" applyBorder="1" applyAlignment="1">
      <alignment horizontal="centerContinuous" vertical="center"/>
    </xf>
    <xf numFmtId="0" fontId="15" fillId="0" borderId="1" xfId="0" applyFont="1" applyBorder="1" applyAlignment="1">
      <alignment wrapText="1"/>
    </xf>
    <xf numFmtId="0" fontId="6" fillId="4" borderId="4" xfId="0" applyFont="1" applyFill="1" applyBorder="1" applyAlignment="1">
      <alignment horizontal="centerContinuous" vertical="center"/>
    </xf>
    <xf numFmtId="0" fontId="15" fillId="0" borderId="4" xfId="0" applyFont="1" applyBorder="1" applyAlignment="1">
      <alignment wrapText="1"/>
    </xf>
    <xf numFmtId="0" fontId="0" fillId="3" borderId="19" xfId="0" applyFill="1" applyBorder="1" applyAlignment="1">
      <alignment horizontal="left" vertical="top" wrapText="1"/>
    </xf>
    <xf numFmtId="0" fontId="16" fillId="0" borderId="1" xfId="0" applyFont="1" applyBorder="1" applyAlignment="1">
      <alignment wrapText="1"/>
    </xf>
    <xf numFmtId="0" fontId="6" fillId="4" borderId="23" xfId="0" applyFont="1" applyFill="1" applyBorder="1" applyAlignment="1">
      <alignment horizontal="centerContinuous" vertical="center"/>
    </xf>
    <xf numFmtId="0" fontId="6" fillId="4" borderId="0" xfId="0" applyFont="1" applyFill="1" applyAlignment="1">
      <alignment horizontal="centerContinuous" vertical="top"/>
    </xf>
    <xf numFmtId="0" fontId="6" fillId="4" borderId="24" xfId="0" applyFont="1" applyFill="1" applyBorder="1" applyAlignment="1">
      <alignment horizontal="centerContinuous" vertical="center"/>
    </xf>
    <xf numFmtId="0" fontId="0" fillId="0" borderId="22" xfId="0" applyBorder="1" applyAlignment="1">
      <alignment horizontal="center" vertical="top"/>
    </xf>
    <xf numFmtId="0" fontId="0" fillId="0" borderId="25" xfId="0" applyBorder="1" applyAlignment="1">
      <alignment wrapText="1"/>
    </xf>
    <xf numFmtId="0" fontId="0" fillId="3" borderId="4" xfId="0" applyFill="1" applyBorder="1" applyAlignment="1">
      <alignment horizontal="left" vertical="top"/>
    </xf>
    <xf numFmtId="0" fontId="0" fillId="0" borderId="4" xfId="0" applyBorder="1" applyAlignment="1">
      <alignment horizontal="center" vertical="top"/>
    </xf>
    <xf numFmtId="0" fontId="16" fillId="0" borderId="9" xfId="0" applyFont="1" applyBorder="1" applyAlignment="1">
      <alignment wrapText="1"/>
    </xf>
    <xf numFmtId="0" fontId="0" fillId="3" borderId="20" xfId="0" applyFill="1" applyBorder="1" applyAlignment="1">
      <alignment horizontal="left" vertical="top"/>
    </xf>
    <xf numFmtId="0" fontId="3" fillId="9" borderId="0" xfId="0" applyFont="1" applyFill="1" applyAlignment="1">
      <alignment horizontal="left" vertical="center" wrapText="1"/>
    </xf>
    <xf numFmtId="0" fontId="17" fillId="9" borderId="1" xfId="0" applyFont="1" applyFill="1" applyBorder="1" applyAlignment="1">
      <alignment horizontal="center" vertical="center" wrapText="1"/>
    </xf>
    <xf numFmtId="0" fontId="17" fillId="2" borderId="18" xfId="0" applyFont="1" applyFill="1" applyBorder="1" applyAlignment="1">
      <alignment horizontal="left" vertical="center" wrapText="1"/>
    </xf>
    <xf numFmtId="0" fontId="17" fillId="9" borderId="1" xfId="0" applyFont="1" applyFill="1" applyBorder="1" applyAlignment="1">
      <alignment horizontal="left" vertical="center" wrapText="1"/>
    </xf>
    <xf numFmtId="14" fontId="17" fillId="9" borderId="1" xfId="0" applyNumberFormat="1" applyFont="1" applyFill="1" applyBorder="1" applyAlignment="1">
      <alignment horizontal="left" vertical="center" wrapText="1"/>
    </xf>
    <xf numFmtId="0" fontId="7" fillId="5" borderId="0" xfId="0" applyFont="1" applyFill="1" applyAlignment="1">
      <alignment horizontal="center"/>
    </xf>
  </cellXfs>
  <cellStyles count="2">
    <cellStyle name="Normal" xfId="0" builtinId="0"/>
    <cellStyle name="Per cent" xfId="1" builtinId="5"/>
  </cellStyles>
  <dxfs count="1">
    <dxf>
      <font>
        <color rgb="FF000000"/>
      </font>
      <fill>
        <patternFill patternType="solid">
          <bgColor rgb="FFFF000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2"/>
  <sheetViews>
    <sheetView tabSelected="1" zoomScaleNormal="100" workbookViewId="0">
      <selection activeCell="B38" sqref="B38"/>
    </sheetView>
  </sheetViews>
  <sheetFormatPr baseColWidth="10" defaultColWidth="8.83203125" defaultRowHeight="15" x14ac:dyDescent="0.2"/>
  <cols>
    <col min="1" max="1" width="2.6640625" style="6" customWidth="1"/>
    <col min="2" max="2" width="12.1640625" style="44" customWidth="1"/>
    <col min="3" max="3" width="99" customWidth="1"/>
    <col min="4" max="4" width="13.33203125" style="41" bestFit="1" customWidth="1"/>
    <col min="5" max="5" width="24.1640625" style="1" bestFit="1" customWidth="1"/>
    <col min="9" max="9" width="13.1640625" customWidth="1"/>
    <col min="10" max="10" width="25.5" customWidth="1"/>
    <col min="11" max="11" width="20.5" customWidth="1"/>
    <col min="12" max="12" width="15.5" customWidth="1"/>
  </cols>
  <sheetData>
    <row r="1" spans="2:20" s="6" customFormat="1" ht="15" customHeight="1" thickBot="1" x14ac:dyDescent="0.25">
      <c r="B1" s="42"/>
      <c r="D1" s="39"/>
      <c r="E1" s="32"/>
    </row>
    <row r="2" spans="2:20" ht="36" customHeight="1" thickBot="1" x14ac:dyDescent="0.25">
      <c r="B2" s="43"/>
      <c r="C2" s="47" t="s">
        <v>0</v>
      </c>
      <c r="D2" s="48"/>
      <c r="E2" s="36"/>
      <c r="F2" s="2"/>
      <c r="G2" s="2"/>
      <c r="H2" s="2"/>
      <c r="I2" s="2"/>
      <c r="J2" s="2"/>
      <c r="K2" s="2"/>
      <c r="L2" s="2"/>
      <c r="M2" s="2"/>
      <c r="N2" s="2"/>
      <c r="O2" s="2"/>
      <c r="P2" s="2"/>
      <c r="Q2" s="2"/>
      <c r="R2" s="2"/>
      <c r="S2" s="2"/>
      <c r="T2" s="2"/>
    </row>
    <row r="3" spans="2:20" s="6" customFormat="1" ht="15" customHeight="1" x14ac:dyDescent="0.3">
      <c r="B3" s="42"/>
      <c r="C3" s="31"/>
      <c r="D3" s="37"/>
      <c r="E3" s="32"/>
    </row>
    <row r="4" spans="2:20" s="6" customFormat="1" ht="15" customHeight="1" x14ac:dyDescent="0.2">
      <c r="B4" s="42"/>
      <c r="C4" s="3" t="s">
        <v>1</v>
      </c>
      <c r="D4" s="37"/>
      <c r="E4" s="34" t="s">
        <v>2</v>
      </c>
    </row>
    <row r="5" spans="2:20" s="6" customFormat="1" ht="15" customHeight="1" x14ac:dyDescent="0.2">
      <c r="B5" s="42"/>
      <c r="C5" s="3" t="s">
        <v>3</v>
      </c>
      <c r="D5" s="37"/>
      <c r="E5" s="27" t="s">
        <v>4</v>
      </c>
    </row>
    <row r="6" spans="2:20" s="6" customFormat="1" ht="15" customHeight="1" x14ac:dyDescent="0.2">
      <c r="B6" s="42"/>
      <c r="C6" s="3" t="s">
        <v>5</v>
      </c>
      <c r="D6" s="37"/>
      <c r="E6" s="28" t="s">
        <v>6</v>
      </c>
    </row>
    <row r="7" spans="2:20" s="6" customFormat="1" ht="15" customHeight="1" x14ac:dyDescent="0.2">
      <c r="B7" s="42"/>
      <c r="C7" s="3" t="s">
        <v>7</v>
      </c>
      <c r="D7" s="37"/>
      <c r="E7" s="35" t="s">
        <v>8</v>
      </c>
    </row>
    <row r="8" spans="2:20" ht="48" x14ac:dyDescent="0.2">
      <c r="B8" s="43"/>
      <c r="C8" s="3" t="s">
        <v>9</v>
      </c>
      <c r="D8" s="38"/>
      <c r="E8" s="3"/>
      <c r="F8" s="2"/>
      <c r="G8" s="29"/>
      <c r="H8" s="29"/>
      <c r="I8" s="29"/>
      <c r="J8" s="29"/>
      <c r="K8" s="29"/>
      <c r="L8" s="2"/>
      <c r="M8" s="2"/>
      <c r="N8" s="2"/>
      <c r="O8" s="2"/>
      <c r="P8" s="2"/>
      <c r="Q8" s="2"/>
      <c r="R8" s="2"/>
      <c r="S8" s="2"/>
      <c r="T8" s="2"/>
    </row>
    <row r="9" spans="2:20" ht="32" x14ac:dyDescent="0.2">
      <c r="B9" s="43"/>
      <c r="C9" s="2"/>
      <c r="D9" s="33" t="s">
        <v>10</v>
      </c>
      <c r="E9" s="33" t="s">
        <v>11</v>
      </c>
      <c r="F9" s="2"/>
      <c r="G9" s="29"/>
      <c r="H9" s="29"/>
      <c r="I9" s="29"/>
      <c r="J9" s="29"/>
      <c r="K9" s="29"/>
      <c r="L9" s="2"/>
      <c r="M9" s="2"/>
      <c r="N9" s="2"/>
      <c r="O9" s="2"/>
      <c r="P9" s="2"/>
      <c r="Q9" s="2"/>
      <c r="R9" s="2"/>
      <c r="S9" s="2"/>
      <c r="T9" s="2"/>
    </row>
    <row r="10" spans="2:20" ht="19" x14ac:dyDescent="0.2">
      <c r="C10" s="68" t="s">
        <v>12</v>
      </c>
      <c r="D10" s="61"/>
      <c r="E10" s="62"/>
      <c r="F10" s="2"/>
      <c r="H10" s="29"/>
      <c r="I10" s="29"/>
      <c r="J10" s="29"/>
      <c r="K10" s="29"/>
      <c r="L10" s="2"/>
      <c r="M10" s="2"/>
      <c r="N10" s="2"/>
      <c r="O10" s="2"/>
      <c r="P10" s="2"/>
      <c r="Q10" s="2"/>
      <c r="R10" s="2"/>
      <c r="S10" s="2"/>
      <c r="T10" s="2"/>
    </row>
    <row r="11" spans="2:20" ht="32" x14ac:dyDescent="0.2">
      <c r="B11" s="54" t="s">
        <v>13</v>
      </c>
      <c r="C11" s="67" t="s">
        <v>14</v>
      </c>
      <c r="D11" s="63"/>
      <c r="E11" s="4"/>
      <c r="F11" s="2"/>
      <c r="G11" s="6"/>
      <c r="H11" s="29"/>
      <c r="I11" s="81"/>
      <c r="J11" s="82" t="s">
        <v>15</v>
      </c>
      <c r="K11" s="82" t="s">
        <v>16</v>
      </c>
      <c r="L11" s="82" t="s">
        <v>17</v>
      </c>
      <c r="M11" s="2"/>
      <c r="N11" s="2"/>
      <c r="O11" s="2"/>
      <c r="P11" s="2"/>
      <c r="Q11" s="2"/>
      <c r="R11" s="2"/>
      <c r="S11" s="2"/>
      <c r="T11" s="2"/>
    </row>
    <row r="12" spans="2:20" ht="48" x14ac:dyDescent="0.2">
      <c r="B12" s="54" t="s">
        <v>18</v>
      </c>
      <c r="C12" s="69" t="s">
        <v>19</v>
      </c>
      <c r="D12" s="63"/>
      <c r="E12" s="4"/>
      <c r="F12" s="2"/>
      <c r="G12" s="6"/>
      <c r="H12" s="29"/>
      <c r="I12" s="83" t="s">
        <v>20</v>
      </c>
      <c r="J12" s="84"/>
      <c r="K12" s="84"/>
      <c r="L12" s="84"/>
      <c r="M12" s="2"/>
      <c r="N12" s="2"/>
      <c r="O12" s="2"/>
      <c r="P12" s="2"/>
      <c r="Q12" s="2"/>
      <c r="R12" s="2"/>
      <c r="S12" s="2"/>
      <c r="T12" s="2"/>
    </row>
    <row r="13" spans="2:20" ht="48" x14ac:dyDescent="0.2">
      <c r="B13" s="54" t="s">
        <v>21</v>
      </c>
      <c r="C13" s="67" t="s">
        <v>22</v>
      </c>
      <c r="D13" s="63"/>
      <c r="E13" s="4"/>
      <c r="F13" s="2"/>
      <c r="G13" s="6"/>
      <c r="H13" s="29"/>
      <c r="I13" s="83" t="s">
        <v>23</v>
      </c>
      <c r="J13" s="84"/>
      <c r="K13" s="84"/>
      <c r="L13" s="84"/>
      <c r="M13" s="2"/>
      <c r="N13" s="2"/>
      <c r="O13" s="2"/>
      <c r="P13" s="2"/>
      <c r="Q13" s="2"/>
      <c r="R13" s="2"/>
      <c r="S13" s="2"/>
      <c r="T13" s="2"/>
    </row>
    <row r="14" spans="2:20" ht="48" x14ac:dyDescent="0.2">
      <c r="B14" s="54" t="s">
        <v>24</v>
      </c>
      <c r="C14" s="67" t="s">
        <v>25</v>
      </c>
      <c r="D14" s="63"/>
      <c r="E14" s="4"/>
      <c r="F14" s="2"/>
      <c r="G14" s="6"/>
      <c r="H14" s="29"/>
      <c r="I14" s="83" t="s">
        <v>26</v>
      </c>
      <c r="J14" s="84"/>
      <c r="K14" s="84"/>
      <c r="L14" s="85"/>
      <c r="M14" s="2"/>
      <c r="N14" s="2"/>
      <c r="O14" s="2"/>
      <c r="P14" s="2"/>
      <c r="Q14" s="2"/>
      <c r="R14" s="2"/>
      <c r="S14" s="2"/>
      <c r="T14" s="2"/>
    </row>
    <row r="15" spans="2:20" ht="19" x14ac:dyDescent="0.2">
      <c r="C15" s="72" t="s">
        <v>27</v>
      </c>
      <c r="D15" s="73"/>
      <c r="E15" s="74"/>
      <c r="F15" s="2"/>
      <c r="G15" s="6"/>
      <c r="H15" s="29"/>
      <c r="I15" s="29"/>
      <c r="J15" s="29"/>
      <c r="K15" s="29"/>
      <c r="L15" s="2"/>
      <c r="M15" s="2"/>
      <c r="N15" s="2"/>
      <c r="O15" s="2"/>
      <c r="P15" s="2"/>
      <c r="Q15" s="2"/>
      <c r="R15" s="2"/>
      <c r="S15" s="2"/>
      <c r="T15" s="2"/>
    </row>
    <row r="16" spans="2:20" ht="64" x14ac:dyDescent="0.2">
      <c r="B16" s="70" t="s">
        <v>28</v>
      </c>
      <c r="C16" s="67" t="s">
        <v>29</v>
      </c>
      <c r="D16" s="40"/>
      <c r="E16" s="4"/>
      <c r="F16" s="2"/>
      <c r="G16" s="29"/>
      <c r="H16" s="29"/>
      <c r="I16" s="29"/>
      <c r="J16" s="29"/>
      <c r="K16" s="29"/>
      <c r="L16" s="2"/>
      <c r="M16" s="2"/>
      <c r="N16" s="2"/>
      <c r="O16" s="2"/>
      <c r="P16" s="2"/>
      <c r="Q16" s="2"/>
      <c r="R16" s="2"/>
      <c r="S16" s="2"/>
      <c r="T16" s="2"/>
    </row>
    <row r="17" spans="2:20" ht="48" x14ac:dyDescent="0.2">
      <c r="B17" s="59" t="s">
        <v>30</v>
      </c>
      <c r="C17" s="71" t="s">
        <v>31</v>
      </c>
      <c r="D17" s="40"/>
      <c r="E17" s="4"/>
      <c r="F17" s="2"/>
      <c r="G17" s="29"/>
      <c r="H17" s="29"/>
      <c r="I17" s="29"/>
      <c r="J17" s="29"/>
      <c r="K17" s="29"/>
      <c r="L17" s="2"/>
      <c r="M17" s="2"/>
      <c r="N17" s="2"/>
      <c r="O17" s="2"/>
      <c r="P17" s="2"/>
      <c r="Q17" s="2"/>
      <c r="R17" s="2"/>
      <c r="S17" s="2"/>
      <c r="T17" s="2"/>
    </row>
    <row r="18" spans="2:20" ht="19" x14ac:dyDescent="0.2">
      <c r="C18" s="72" t="s">
        <v>32</v>
      </c>
      <c r="D18" s="50"/>
      <c r="E18" s="51"/>
      <c r="F18" s="2"/>
      <c r="G18" s="29"/>
      <c r="H18" s="29"/>
      <c r="I18" s="29"/>
      <c r="J18" s="29"/>
      <c r="K18" s="29"/>
      <c r="L18" s="2"/>
      <c r="M18" s="2"/>
      <c r="N18" s="2"/>
      <c r="O18" s="2"/>
      <c r="P18" s="2"/>
      <c r="Q18" s="2"/>
      <c r="R18" s="2"/>
      <c r="S18" s="2"/>
      <c r="T18" s="2"/>
    </row>
    <row r="19" spans="2:20" ht="64" x14ac:dyDescent="0.2">
      <c r="B19" s="59" t="s">
        <v>33</v>
      </c>
      <c r="C19" s="67" t="s">
        <v>34</v>
      </c>
      <c r="D19" s="58"/>
      <c r="E19" s="53"/>
      <c r="F19" s="2"/>
      <c r="G19" s="29"/>
      <c r="H19" s="29"/>
      <c r="I19" s="29"/>
      <c r="J19" s="29"/>
      <c r="K19" s="29"/>
      <c r="L19" s="2"/>
      <c r="M19" s="2"/>
      <c r="N19" s="2"/>
      <c r="O19" s="2"/>
      <c r="P19" s="2"/>
      <c r="Q19" s="2"/>
      <c r="R19" s="2"/>
      <c r="S19" s="2"/>
      <c r="T19" s="2"/>
    </row>
    <row r="20" spans="2:20" ht="48" x14ac:dyDescent="0.2">
      <c r="B20" s="55" t="s">
        <v>35</v>
      </c>
      <c r="C20" s="69" t="s">
        <v>36</v>
      </c>
      <c r="D20" s="75"/>
      <c r="E20" s="76"/>
      <c r="F20" s="2"/>
      <c r="G20" s="29"/>
      <c r="H20" s="29"/>
      <c r="I20" s="29"/>
      <c r="J20" s="29"/>
      <c r="K20" s="29"/>
      <c r="L20" s="2"/>
      <c r="M20" s="2"/>
      <c r="N20" s="2"/>
      <c r="O20" s="2"/>
      <c r="P20" s="2"/>
      <c r="Q20" s="2"/>
      <c r="R20" s="2"/>
      <c r="S20" s="2"/>
      <c r="T20" s="2"/>
    </row>
    <row r="21" spans="2:20" ht="64" x14ac:dyDescent="0.2">
      <c r="B21" s="46" t="s">
        <v>37</v>
      </c>
      <c r="C21" s="67" t="s">
        <v>38</v>
      </c>
      <c r="D21" s="40"/>
      <c r="E21" s="4"/>
      <c r="F21" s="2"/>
      <c r="G21" s="29"/>
      <c r="H21" s="29"/>
      <c r="I21" s="29"/>
      <c r="J21" s="29"/>
      <c r="K21" s="29"/>
      <c r="L21" s="2"/>
      <c r="M21" s="2"/>
      <c r="N21" s="2"/>
      <c r="O21" s="2"/>
      <c r="P21" s="2"/>
      <c r="Q21" s="2"/>
      <c r="R21" s="2"/>
      <c r="S21" s="2"/>
      <c r="T21" s="2"/>
    </row>
    <row r="22" spans="2:20" ht="19" x14ac:dyDescent="0.2">
      <c r="C22" s="49" t="s">
        <v>39</v>
      </c>
      <c r="D22" s="50"/>
      <c r="E22" s="51"/>
      <c r="F22" s="2"/>
      <c r="G22" s="29"/>
      <c r="H22" s="29"/>
      <c r="I22" s="29"/>
      <c r="J22" s="29"/>
      <c r="K22" s="29"/>
      <c r="L22" s="2"/>
      <c r="M22" s="2"/>
      <c r="N22" s="2"/>
      <c r="O22" s="2"/>
      <c r="P22" s="2"/>
      <c r="Q22" s="2"/>
      <c r="R22" s="2"/>
      <c r="S22" s="2"/>
      <c r="T22" s="2"/>
    </row>
    <row r="23" spans="2:20" ht="51" customHeight="1" x14ac:dyDescent="0.2">
      <c r="B23" s="64" t="s">
        <v>40</v>
      </c>
      <c r="C23" s="65" t="s">
        <v>41</v>
      </c>
      <c r="D23" s="40"/>
      <c r="E23" s="4"/>
      <c r="F23" s="2"/>
      <c r="G23" s="29"/>
      <c r="H23" s="29"/>
      <c r="I23" s="29"/>
      <c r="J23" s="29"/>
      <c r="K23" s="29"/>
      <c r="L23" s="2"/>
      <c r="M23" s="2"/>
      <c r="N23" s="2"/>
      <c r="O23" s="2"/>
      <c r="P23" s="2"/>
      <c r="Q23" s="2"/>
      <c r="R23" s="2"/>
      <c r="S23" s="2"/>
      <c r="T23" s="2"/>
    </row>
    <row r="24" spans="2:20" ht="19" x14ac:dyDescent="0.2">
      <c r="C24" s="60" t="s">
        <v>42</v>
      </c>
      <c r="D24" s="61"/>
      <c r="E24" s="62"/>
      <c r="F24" s="2"/>
      <c r="G24" s="30"/>
      <c r="H24" s="30"/>
      <c r="I24" s="30"/>
      <c r="J24" s="30"/>
      <c r="K24" s="6"/>
      <c r="L24" s="2"/>
      <c r="M24" s="2"/>
      <c r="N24" s="2"/>
      <c r="O24" s="2"/>
      <c r="P24" s="2"/>
      <c r="Q24" s="2"/>
      <c r="R24" s="2"/>
      <c r="S24" s="2"/>
      <c r="T24" s="2"/>
    </row>
    <row r="25" spans="2:20" ht="48" x14ac:dyDescent="0.2">
      <c r="B25" s="77" t="s">
        <v>43</v>
      </c>
      <c r="C25" s="69" t="s">
        <v>44</v>
      </c>
      <c r="D25" s="78"/>
      <c r="E25" s="5"/>
      <c r="F25" s="2"/>
      <c r="G25" s="6"/>
      <c r="H25" s="6"/>
      <c r="I25" s="6"/>
      <c r="J25" s="6"/>
      <c r="K25" s="6"/>
      <c r="L25" s="2"/>
      <c r="M25" s="2"/>
      <c r="N25" s="2"/>
      <c r="O25" s="2"/>
      <c r="P25" s="2"/>
      <c r="Q25" s="2"/>
      <c r="R25" s="2"/>
      <c r="S25" s="2"/>
      <c r="T25" s="2"/>
    </row>
    <row r="26" spans="2:20" ht="32" x14ac:dyDescent="0.2">
      <c r="B26" s="46" t="s">
        <v>45</v>
      </c>
      <c r="C26" s="69" t="s">
        <v>46</v>
      </c>
      <c r="D26" s="40"/>
      <c r="E26" s="4"/>
      <c r="F26" s="2"/>
      <c r="G26" s="6"/>
      <c r="H26" s="2"/>
      <c r="I26" s="2"/>
      <c r="J26" s="2"/>
      <c r="K26" s="2"/>
      <c r="L26" s="2"/>
      <c r="M26" s="2"/>
      <c r="N26" s="2"/>
      <c r="O26" s="2"/>
      <c r="P26" s="2"/>
      <c r="Q26" s="2"/>
      <c r="R26" s="2"/>
      <c r="S26" s="2"/>
      <c r="T26" s="2"/>
    </row>
    <row r="27" spans="2:20" ht="19" x14ac:dyDescent="0.2">
      <c r="C27" s="66" t="s">
        <v>32</v>
      </c>
      <c r="D27" s="73"/>
      <c r="E27" s="74"/>
      <c r="F27" s="2"/>
      <c r="G27" s="6"/>
      <c r="H27" s="2"/>
      <c r="I27" s="2"/>
      <c r="J27" s="2"/>
      <c r="K27" s="2"/>
      <c r="L27" s="2"/>
      <c r="M27" s="2"/>
      <c r="N27" s="2"/>
      <c r="O27" s="2"/>
      <c r="P27" s="2"/>
      <c r="Q27" s="2"/>
      <c r="R27" s="2"/>
      <c r="S27" s="2"/>
      <c r="T27" s="2"/>
    </row>
    <row r="28" spans="2:20" ht="80" x14ac:dyDescent="0.2">
      <c r="B28" s="45" t="s">
        <v>47</v>
      </c>
      <c r="C28" s="65" t="s">
        <v>48</v>
      </c>
      <c r="D28" s="52"/>
      <c r="E28" s="53"/>
      <c r="F28" s="2"/>
      <c r="G28" s="6"/>
      <c r="H28" s="2"/>
      <c r="I28" s="2"/>
      <c r="J28" s="2"/>
      <c r="K28" s="2"/>
      <c r="L28" s="2"/>
      <c r="M28" s="2"/>
      <c r="N28" s="2"/>
      <c r="O28" s="2"/>
      <c r="P28" s="2"/>
      <c r="Q28" s="2"/>
      <c r="R28" s="2"/>
      <c r="S28" s="2"/>
      <c r="T28" s="2"/>
    </row>
    <row r="29" spans="2:20" ht="48" x14ac:dyDescent="0.2">
      <c r="B29" s="45" t="s">
        <v>49</v>
      </c>
      <c r="C29" s="79" t="s">
        <v>50</v>
      </c>
      <c r="D29" s="52"/>
      <c r="E29" s="53"/>
      <c r="F29" s="2"/>
      <c r="G29" s="6"/>
      <c r="H29" s="2"/>
      <c r="I29" s="2"/>
      <c r="J29" s="2"/>
      <c r="K29" s="2"/>
      <c r="L29" s="2"/>
      <c r="M29" s="2"/>
      <c r="N29" s="2"/>
      <c r="O29" s="2"/>
      <c r="P29" s="2"/>
      <c r="Q29" s="2"/>
      <c r="R29" s="2"/>
      <c r="S29" s="2"/>
      <c r="T29" s="2"/>
    </row>
    <row r="30" spans="2:20" ht="19" x14ac:dyDescent="0.2">
      <c r="C30" s="72" t="s">
        <v>51</v>
      </c>
      <c r="D30" s="73"/>
      <c r="E30" s="74"/>
      <c r="F30" s="2"/>
      <c r="G30" s="6"/>
      <c r="H30" s="2"/>
      <c r="I30" s="2"/>
      <c r="J30" s="2"/>
      <c r="K30" s="2"/>
      <c r="L30" s="2"/>
      <c r="M30" s="2"/>
      <c r="N30" s="2"/>
      <c r="O30" s="2"/>
      <c r="P30" s="2"/>
      <c r="Q30" s="2"/>
      <c r="R30" s="2"/>
      <c r="S30" s="2"/>
      <c r="T30" s="2"/>
    </row>
    <row r="31" spans="2:20" ht="64" x14ac:dyDescent="0.2">
      <c r="B31" s="56" t="s">
        <v>52</v>
      </c>
      <c r="C31" s="67" t="s">
        <v>53</v>
      </c>
      <c r="D31" s="40"/>
      <c r="E31" s="4"/>
      <c r="F31" s="2"/>
      <c r="G31" s="6"/>
      <c r="H31" s="2"/>
      <c r="I31" s="2"/>
      <c r="J31" s="2"/>
      <c r="K31" s="2"/>
      <c r="L31" s="2"/>
      <c r="M31" s="2"/>
      <c r="N31" s="2"/>
      <c r="O31" s="2"/>
      <c r="P31" s="2"/>
      <c r="Q31" s="2"/>
      <c r="R31" s="2"/>
      <c r="S31" s="2"/>
      <c r="T31" s="2"/>
    </row>
    <row r="32" spans="2:20" ht="64" x14ac:dyDescent="0.2">
      <c r="B32" s="56" t="s">
        <v>54</v>
      </c>
      <c r="C32" s="71" t="s">
        <v>55</v>
      </c>
      <c r="D32" s="40"/>
      <c r="E32" s="4"/>
      <c r="F32" s="2"/>
      <c r="G32" s="6"/>
      <c r="H32" s="2"/>
      <c r="I32" s="2"/>
      <c r="J32" s="2"/>
      <c r="K32" s="2"/>
      <c r="L32" s="2"/>
      <c r="M32" s="2"/>
      <c r="N32" s="2"/>
      <c r="O32" s="2"/>
      <c r="P32" s="2"/>
      <c r="Q32" s="2"/>
      <c r="R32" s="2"/>
      <c r="S32" s="2"/>
      <c r="T32" s="2"/>
    </row>
    <row r="33" spans="1:20" s="2" customFormat="1" ht="19" x14ac:dyDescent="0.2">
      <c r="A33" s="6"/>
      <c r="B33" s="44"/>
      <c r="C33" s="72" t="s">
        <v>56</v>
      </c>
      <c r="D33" s="73"/>
      <c r="E33" s="74"/>
    </row>
    <row r="34" spans="1:20" ht="32" x14ac:dyDescent="0.2">
      <c r="B34" s="56" t="s">
        <v>57</v>
      </c>
      <c r="C34" s="67" t="s">
        <v>58</v>
      </c>
      <c r="D34" s="63"/>
      <c r="E34" s="4"/>
      <c r="F34" s="2"/>
      <c r="G34" s="2"/>
      <c r="H34" s="2"/>
      <c r="I34" s="2"/>
      <c r="J34" s="2"/>
      <c r="K34" s="2"/>
      <c r="L34" s="2"/>
      <c r="M34" s="2"/>
      <c r="N34" s="2"/>
      <c r="O34" s="2"/>
      <c r="P34" s="2"/>
      <c r="Q34" s="2"/>
      <c r="R34" s="2"/>
      <c r="S34" s="2"/>
      <c r="T34" s="2"/>
    </row>
    <row r="35" spans="1:20" ht="48" x14ac:dyDescent="0.2">
      <c r="B35" s="80" t="s">
        <v>59</v>
      </c>
      <c r="C35" s="69" t="s">
        <v>60</v>
      </c>
      <c r="D35" s="57"/>
      <c r="E35" s="5"/>
      <c r="F35" s="2"/>
      <c r="G35" s="2"/>
      <c r="H35" s="2"/>
      <c r="I35" s="2"/>
      <c r="J35" s="2"/>
      <c r="K35" s="2"/>
      <c r="L35" s="2"/>
      <c r="M35" s="2"/>
      <c r="N35" s="2"/>
      <c r="O35" s="2"/>
      <c r="P35" s="2"/>
      <c r="Q35" s="2"/>
      <c r="R35" s="2"/>
      <c r="S35" s="2"/>
      <c r="T35" s="2"/>
    </row>
    <row r="36" spans="1:20" ht="80" x14ac:dyDescent="0.2">
      <c r="B36" s="59" t="s">
        <v>61</v>
      </c>
      <c r="C36" s="67" t="s">
        <v>62</v>
      </c>
      <c r="D36" s="63"/>
      <c r="E36" s="4"/>
      <c r="F36" s="2"/>
      <c r="G36" s="2"/>
      <c r="H36" s="2"/>
      <c r="I36" s="2"/>
      <c r="J36" s="2"/>
      <c r="K36" s="2"/>
      <c r="L36" s="2"/>
      <c r="M36" s="2"/>
      <c r="N36" s="2"/>
      <c r="O36" s="2"/>
      <c r="P36" s="2"/>
      <c r="Q36" s="2"/>
      <c r="R36" s="2"/>
      <c r="S36" s="2"/>
      <c r="T36" s="2"/>
    </row>
    <row r="37" spans="1:20" ht="19" x14ac:dyDescent="0.2">
      <c r="C37" s="72" t="s">
        <v>63</v>
      </c>
      <c r="D37" s="73"/>
      <c r="E37" s="74"/>
      <c r="F37" s="2"/>
      <c r="G37" s="2"/>
      <c r="H37" s="2"/>
      <c r="I37" s="2"/>
      <c r="J37" s="2"/>
      <c r="K37" s="2"/>
      <c r="L37" s="2"/>
      <c r="M37" s="2"/>
      <c r="N37" s="2"/>
      <c r="O37" s="2"/>
      <c r="P37" s="2"/>
      <c r="Q37" s="2"/>
      <c r="R37" s="2"/>
      <c r="S37" s="2"/>
      <c r="T37" s="2"/>
    </row>
    <row r="38" spans="1:20" ht="48" x14ac:dyDescent="0.2">
      <c r="B38" s="46" t="s">
        <v>64</v>
      </c>
      <c r="C38" s="67" t="s">
        <v>65</v>
      </c>
      <c r="D38" s="40"/>
      <c r="E38" s="4"/>
      <c r="F38" s="2"/>
      <c r="G38" s="2"/>
      <c r="H38" s="2"/>
      <c r="I38" s="2"/>
      <c r="J38" s="2"/>
      <c r="K38" s="2"/>
      <c r="L38" s="2"/>
      <c r="M38" s="2"/>
      <c r="N38" s="2"/>
      <c r="O38" s="2"/>
      <c r="P38" s="2"/>
      <c r="Q38" s="2"/>
      <c r="R38" s="2"/>
      <c r="S38" s="2"/>
      <c r="T38" s="2"/>
    </row>
    <row r="39" spans="1:20" ht="32" x14ac:dyDescent="0.2">
      <c r="B39" s="46" t="s">
        <v>66</v>
      </c>
      <c r="C39" s="67" t="s">
        <v>67</v>
      </c>
      <c r="D39" s="40"/>
      <c r="E39" s="4"/>
      <c r="F39" s="2"/>
      <c r="G39" s="2"/>
      <c r="H39" s="2"/>
      <c r="I39" s="2"/>
      <c r="J39" s="2"/>
      <c r="K39" s="2"/>
      <c r="L39" s="2"/>
      <c r="M39" s="2"/>
      <c r="N39" s="2"/>
      <c r="O39" s="2"/>
      <c r="P39" s="2"/>
      <c r="Q39" s="2"/>
      <c r="R39" s="2"/>
      <c r="S39" s="2"/>
      <c r="T39" s="2"/>
    </row>
    <row r="40" spans="1:20" ht="64" x14ac:dyDescent="0.2">
      <c r="B40" s="46" t="s">
        <v>68</v>
      </c>
      <c r="C40" s="67" t="s">
        <v>69</v>
      </c>
      <c r="D40" s="40"/>
      <c r="E40" s="4"/>
      <c r="F40" s="2"/>
      <c r="G40" s="2"/>
      <c r="H40" s="2"/>
      <c r="I40" s="2"/>
      <c r="J40" s="2"/>
      <c r="K40" s="2"/>
      <c r="L40" s="2"/>
      <c r="M40" s="2"/>
      <c r="N40" s="2"/>
      <c r="O40" s="2"/>
      <c r="P40" s="2"/>
      <c r="Q40" s="2"/>
      <c r="R40" s="2"/>
      <c r="S40" s="2"/>
      <c r="T40" s="2"/>
    </row>
    <row r="41" spans="1:20" ht="19" x14ac:dyDescent="0.2">
      <c r="C41" s="72" t="s">
        <v>70</v>
      </c>
      <c r="D41" s="73"/>
      <c r="E41" s="74"/>
      <c r="F41" s="2"/>
      <c r="G41" s="2"/>
      <c r="H41" s="2"/>
      <c r="I41" s="2"/>
      <c r="J41" s="2"/>
      <c r="K41" s="2"/>
      <c r="L41" s="2"/>
      <c r="M41" s="2"/>
      <c r="N41" s="2"/>
      <c r="O41" s="2"/>
      <c r="P41" s="2"/>
      <c r="Q41" s="2"/>
      <c r="R41" s="2"/>
      <c r="S41" s="2"/>
      <c r="T41" s="2"/>
    </row>
    <row r="42" spans="1:20" ht="80" x14ac:dyDescent="0.2">
      <c r="B42" s="64" t="s">
        <v>71</v>
      </c>
      <c r="C42" s="67" t="s">
        <v>72</v>
      </c>
      <c r="D42" s="40"/>
      <c r="E42" s="4"/>
      <c r="F42" s="2"/>
      <c r="G42" s="2"/>
      <c r="H42" s="2"/>
      <c r="I42" s="2"/>
      <c r="J42" s="2"/>
      <c r="K42" s="2"/>
      <c r="L42" s="2"/>
      <c r="M42" s="2"/>
      <c r="N42" s="2"/>
      <c r="O42" s="2"/>
      <c r="P42" s="2"/>
      <c r="Q42" s="2"/>
      <c r="R42" s="2"/>
      <c r="S42" s="2"/>
      <c r="T42" s="2"/>
    </row>
    <row r="43" spans="1:20" ht="48" x14ac:dyDescent="0.2">
      <c r="B43" s="46" t="s">
        <v>73</v>
      </c>
      <c r="C43" s="67" t="s">
        <v>74</v>
      </c>
      <c r="D43" s="40"/>
      <c r="E43" s="4"/>
      <c r="F43" s="2"/>
      <c r="G43" s="2"/>
      <c r="H43" s="2"/>
      <c r="I43" s="2"/>
      <c r="J43" s="2"/>
      <c r="K43" s="2"/>
      <c r="L43" s="2"/>
      <c r="M43" s="2"/>
      <c r="N43" s="2"/>
      <c r="O43" s="2"/>
      <c r="P43" s="2"/>
      <c r="Q43" s="2"/>
      <c r="R43" s="2"/>
      <c r="S43" s="2"/>
      <c r="T43" s="2"/>
    </row>
    <row r="44" spans="1:20" ht="48" x14ac:dyDescent="0.2">
      <c r="B44" s="46" t="s">
        <v>75</v>
      </c>
      <c r="C44" s="67" t="s">
        <v>76</v>
      </c>
      <c r="D44" s="40"/>
      <c r="E44" s="4"/>
      <c r="F44" s="2"/>
      <c r="G44" s="2"/>
      <c r="H44" s="2"/>
      <c r="I44" s="2"/>
      <c r="J44" s="2"/>
      <c r="K44" s="2"/>
      <c r="L44" s="2"/>
      <c r="M44" s="2"/>
      <c r="N44" s="2"/>
      <c r="O44" s="2"/>
      <c r="P44" s="2"/>
      <c r="Q44" s="2"/>
      <c r="R44" s="2"/>
      <c r="S44" s="2"/>
      <c r="T44" s="2"/>
    </row>
    <row r="45" spans="1:20" ht="19" x14ac:dyDescent="0.2">
      <c r="C45" s="72" t="s">
        <v>77</v>
      </c>
      <c r="D45" s="73"/>
      <c r="E45" s="74"/>
      <c r="F45" s="2"/>
      <c r="G45" s="2"/>
      <c r="H45" s="2"/>
      <c r="I45" s="2"/>
      <c r="J45" s="2"/>
      <c r="K45" s="2"/>
      <c r="L45" s="2"/>
      <c r="M45" s="2"/>
      <c r="N45" s="2"/>
      <c r="O45" s="2"/>
      <c r="P45" s="2"/>
      <c r="Q45" s="2"/>
      <c r="R45" s="2"/>
      <c r="S45" s="2"/>
      <c r="T45" s="2"/>
    </row>
    <row r="46" spans="1:20" ht="48" x14ac:dyDescent="0.2">
      <c r="B46" s="56" t="s">
        <v>78</v>
      </c>
      <c r="C46" s="67" t="s">
        <v>79</v>
      </c>
      <c r="D46" s="40"/>
      <c r="E46" s="4"/>
      <c r="F46" s="2"/>
      <c r="G46" s="2"/>
      <c r="H46" s="2"/>
      <c r="I46" s="2"/>
      <c r="J46" s="2"/>
      <c r="K46" s="2"/>
      <c r="L46" s="2"/>
      <c r="M46" s="2"/>
      <c r="N46" s="2"/>
      <c r="O46" s="2"/>
      <c r="P46" s="2"/>
      <c r="Q46" s="2"/>
      <c r="R46" s="2"/>
      <c r="S46" s="2"/>
      <c r="T46" s="2"/>
    </row>
    <row r="47" spans="1:20" ht="48" x14ac:dyDescent="0.2">
      <c r="B47" s="56" t="s">
        <v>80</v>
      </c>
      <c r="C47" s="65" t="s">
        <v>81</v>
      </c>
      <c r="D47" s="40"/>
      <c r="E47" s="4"/>
      <c r="F47" s="2"/>
      <c r="G47" s="2"/>
      <c r="H47" s="2"/>
      <c r="I47" s="2"/>
      <c r="J47" s="2"/>
      <c r="K47" s="2"/>
      <c r="L47" s="2"/>
      <c r="M47" s="2"/>
      <c r="N47" s="2"/>
      <c r="O47" s="2"/>
      <c r="P47" s="2"/>
      <c r="Q47" s="2"/>
      <c r="R47" s="2"/>
      <c r="S47" s="2"/>
      <c r="T47" s="2"/>
    </row>
    <row r="48" spans="1:20" ht="80" x14ac:dyDescent="0.2">
      <c r="B48" s="56" t="s">
        <v>82</v>
      </c>
      <c r="C48" s="65" t="s">
        <v>83</v>
      </c>
      <c r="D48" s="40"/>
      <c r="E48" s="4"/>
      <c r="F48" s="2"/>
      <c r="G48" s="2"/>
      <c r="H48" s="2"/>
      <c r="I48" s="2"/>
      <c r="J48" s="2"/>
      <c r="K48" s="2"/>
      <c r="L48" s="2"/>
      <c r="M48" s="2"/>
      <c r="N48" s="2"/>
      <c r="O48" s="2"/>
      <c r="P48" s="2"/>
      <c r="Q48" s="2"/>
      <c r="R48" s="2"/>
      <c r="S48" s="2"/>
      <c r="T48" s="2"/>
    </row>
    <row r="49" spans="2:20" ht="19" x14ac:dyDescent="0.2">
      <c r="C49" s="72" t="s">
        <v>84</v>
      </c>
      <c r="D49" s="73"/>
      <c r="E49" s="74"/>
      <c r="F49" s="2"/>
      <c r="G49" s="2"/>
      <c r="H49" s="2"/>
      <c r="I49" s="2"/>
      <c r="J49" s="2"/>
      <c r="K49" s="2"/>
      <c r="L49" s="2"/>
      <c r="M49" s="2"/>
      <c r="N49" s="2"/>
      <c r="O49" s="2"/>
      <c r="P49" s="2"/>
      <c r="Q49" s="2"/>
      <c r="R49" s="2"/>
      <c r="S49" s="2"/>
      <c r="T49" s="2"/>
    </row>
    <row r="50" spans="2:20" ht="48" x14ac:dyDescent="0.2">
      <c r="B50" s="77" t="s">
        <v>85</v>
      </c>
      <c r="C50" s="69" t="s">
        <v>86</v>
      </c>
      <c r="D50" s="78"/>
      <c r="E50" s="5"/>
      <c r="F50" s="2"/>
      <c r="G50" s="2"/>
      <c r="H50" s="2"/>
      <c r="I50" s="2"/>
      <c r="J50" s="2"/>
      <c r="K50" s="2"/>
      <c r="L50" s="2"/>
      <c r="M50" s="2"/>
      <c r="N50" s="2"/>
      <c r="O50" s="2"/>
      <c r="P50" s="2"/>
      <c r="Q50" s="2"/>
      <c r="R50" s="2"/>
      <c r="S50" s="2"/>
      <c r="T50" s="2"/>
    </row>
    <row r="51" spans="2:20" ht="48" x14ac:dyDescent="0.2">
      <c r="B51" s="46" t="s">
        <v>87</v>
      </c>
      <c r="C51" s="67" t="s">
        <v>88</v>
      </c>
      <c r="D51" s="40"/>
      <c r="E51" s="4"/>
      <c r="F51" s="2"/>
      <c r="G51" s="2"/>
      <c r="H51" s="2"/>
      <c r="I51" s="2"/>
      <c r="J51" s="2"/>
      <c r="K51" s="2"/>
      <c r="L51" s="2"/>
      <c r="M51" s="2"/>
      <c r="N51" s="2"/>
      <c r="O51" s="2"/>
      <c r="P51" s="2"/>
      <c r="Q51" s="2"/>
      <c r="R51" s="2"/>
      <c r="S51" s="2"/>
      <c r="T51" s="2"/>
    </row>
    <row r="52" spans="2:20" x14ac:dyDescent="0.2">
      <c r="B52" s="43"/>
      <c r="C52" s="2"/>
      <c r="D52" s="38"/>
      <c r="E52" s="3"/>
      <c r="F52" s="2"/>
      <c r="G52" s="2"/>
      <c r="H52" s="2"/>
      <c r="I52" s="2"/>
      <c r="J52" s="2"/>
      <c r="K52" s="2"/>
      <c r="L52" s="2"/>
      <c r="M52" s="2"/>
      <c r="N52" s="2"/>
      <c r="O52" s="2"/>
      <c r="P52" s="2"/>
      <c r="Q52" s="2"/>
      <c r="R52" s="2"/>
      <c r="S52" s="2"/>
      <c r="T52" s="2"/>
    </row>
    <row r="53" spans="2:20" x14ac:dyDescent="0.2">
      <c r="B53" s="43"/>
      <c r="C53" s="2"/>
      <c r="D53" s="38"/>
      <c r="E53" s="3"/>
      <c r="F53" s="2"/>
      <c r="G53" s="2"/>
      <c r="H53" s="2"/>
      <c r="I53" s="2"/>
      <c r="J53" s="2"/>
      <c r="K53" s="2"/>
      <c r="L53" s="2"/>
      <c r="M53" s="2"/>
      <c r="N53" s="2"/>
      <c r="O53" s="2"/>
      <c r="P53" s="2"/>
      <c r="Q53" s="2"/>
      <c r="R53" s="2"/>
      <c r="S53" s="2"/>
      <c r="T53" s="2"/>
    </row>
    <row r="54" spans="2:20" x14ac:dyDescent="0.2">
      <c r="B54" s="43"/>
      <c r="C54" s="2"/>
      <c r="D54" s="38"/>
      <c r="E54" s="3"/>
      <c r="F54" s="2"/>
      <c r="G54" s="2"/>
      <c r="H54" s="2"/>
      <c r="I54" s="2"/>
      <c r="J54" s="2"/>
      <c r="K54" s="2"/>
      <c r="L54" s="2"/>
      <c r="M54" s="2"/>
      <c r="N54" s="2"/>
      <c r="O54" s="2"/>
      <c r="P54" s="2"/>
      <c r="Q54" s="2"/>
      <c r="R54" s="2"/>
      <c r="S54" s="2"/>
      <c r="T54" s="2"/>
    </row>
    <row r="55" spans="2:20" x14ac:dyDescent="0.2">
      <c r="B55" s="43"/>
      <c r="C55" s="2"/>
      <c r="D55" s="38"/>
      <c r="E55" s="3"/>
      <c r="F55" s="2"/>
      <c r="G55" s="2"/>
      <c r="H55" s="2"/>
      <c r="I55" s="2"/>
      <c r="J55" s="2"/>
      <c r="K55" s="2"/>
      <c r="L55" s="2"/>
      <c r="M55" s="2"/>
      <c r="N55" s="2"/>
      <c r="O55" s="2"/>
      <c r="P55" s="2"/>
      <c r="Q55" s="2"/>
      <c r="R55" s="2"/>
      <c r="S55" s="2"/>
      <c r="T55" s="2"/>
    </row>
    <row r="56" spans="2:20" x14ac:dyDescent="0.2">
      <c r="B56" s="43"/>
      <c r="C56" s="2"/>
      <c r="D56" s="38"/>
      <c r="E56" s="3"/>
      <c r="F56" s="2"/>
      <c r="G56" s="2"/>
      <c r="H56" s="2"/>
      <c r="I56" s="2"/>
      <c r="J56" s="2"/>
      <c r="K56" s="2"/>
      <c r="L56" s="2"/>
      <c r="M56" s="2"/>
      <c r="N56" s="2"/>
      <c r="O56" s="2"/>
      <c r="P56" s="2"/>
      <c r="Q56" s="2"/>
      <c r="R56" s="2"/>
      <c r="S56" s="2"/>
      <c r="T56" s="2"/>
    </row>
    <row r="57" spans="2:20" x14ac:dyDescent="0.2">
      <c r="B57" s="43"/>
      <c r="C57" s="2"/>
      <c r="D57" s="38"/>
      <c r="E57" s="3"/>
      <c r="F57" s="2"/>
      <c r="G57" s="2"/>
      <c r="H57" s="2"/>
      <c r="I57" s="2"/>
      <c r="J57" s="2"/>
      <c r="K57" s="2"/>
      <c r="L57" s="2"/>
      <c r="M57" s="2"/>
      <c r="N57" s="2"/>
      <c r="O57" s="2"/>
      <c r="P57" s="2"/>
      <c r="Q57" s="2"/>
      <c r="R57" s="2"/>
      <c r="S57" s="2"/>
      <c r="T57" s="2"/>
    </row>
    <row r="58" spans="2:20" x14ac:dyDescent="0.2">
      <c r="B58" s="43"/>
      <c r="C58" s="2"/>
      <c r="D58" s="38"/>
      <c r="E58" s="3"/>
      <c r="F58" s="2"/>
      <c r="G58" s="2"/>
      <c r="H58" s="2"/>
      <c r="I58" s="2"/>
      <c r="J58" s="2"/>
      <c r="K58" s="2"/>
      <c r="L58" s="2"/>
      <c r="M58" s="2"/>
      <c r="N58" s="2"/>
      <c r="O58" s="2"/>
      <c r="P58" s="2"/>
      <c r="Q58" s="2"/>
      <c r="R58" s="2"/>
      <c r="S58" s="2"/>
      <c r="T58" s="2"/>
    </row>
    <row r="59" spans="2:20" x14ac:dyDescent="0.2">
      <c r="B59" s="43"/>
      <c r="C59" s="2"/>
      <c r="D59" s="38"/>
      <c r="E59" s="3"/>
      <c r="F59" s="2"/>
      <c r="G59" s="2"/>
      <c r="H59" s="2"/>
      <c r="I59" s="2"/>
      <c r="J59" s="2"/>
      <c r="K59" s="2"/>
      <c r="L59" s="2"/>
      <c r="M59" s="2"/>
      <c r="N59" s="2"/>
      <c r="O59" s="2"/>
      <c r="P59" s="2"/>
      <c r="Q59" s="2"/>
      <c r="R59" s="2"/>
      <c r="S59" s="2"/>
      <c r="T59" s="2"/>
    </row>
    <row r="60" spans="2:20" x14ac:dyDescent="0.2">
      <c r="B60" s="43"/>
      <c r="C60" s="2"/>
      <c r="D60" s="38"/>
      <c r="E60" s="3"/>
      <c r="F60" s="2"/>
      <c r="G60" s="2"/>
      <c r="H60" s="2"/>
      <c r="I60" s="2"/>
      <c r="J60" s="2"/>
      <c r="K60" s="2"/>
      <c r="L60" s="2"/>
      <c r="M60" s="2"/>
      <c r="N60" s="2"/>
      <c r="O60" s="2"/>
      <c r="P60" s="2"/>
      <c r="Q60" s="2"/>
      <c r="R60" s="2"/>
      <c r="S60" s="2"/>
      <c r="T60" s="2"/>
    </row>
    <row r="61" spans="2:20" x14ac:dyDescent="0.2">
      <c r="B61" s="43"/>
      <c r="C61" s="2"/>
      <c r="D61" s="38"/>
      <c r="E61" s="3"/>
      <c r="F61" s="2"/>
      <c r="G61" s="2"/>
      <c r="H61" s="2"/>
      <c r="I61" s="2"/>
      <c r="J61" s="2"/>
      <c r="K61" s="2"/>
      <c r="L61" s="2"/>
      <c r="M61" s="2"/>
      <c r="N61" s="2"/>
      <c r="O61" s="2"/>
      <c r="P61" s="2"/>
      <c r="Q61" s="2"/>
      <c r="R61" s="2"/>
      <c r="S61" s="2"/>
      <c r="T61" s="2"/>
    </row>
    <row r="62" spans="2:20" x14ac:dyDescent="0.2">
      <c r="B62" s="43"/>
      <c r="C62" s="2"/>
      <c r="D62" s="38"/>
      <c r="E62" s="3"/>
      <c r="F62" s="2"/>
      <c r="G62" s="2"/>
      <c r="H62" s="2"/>
      <c r="I62" s="2"/>
      <c r="J62" s="2"/>
      <c r="K62" s="2"/>
      <c r="L62" s="2"/>
      <c r="M62" s="2"/>
      <c r="N62" s="2"/>
      <c r="O62" s="2"/>
      <c r="P62" s="2"/>
      <c r="Q62" s="2"/>
      <c r="R62" s="2"/>
      <c r="S62" s="2"/>
      <c r="T62" s="2"/>
    </row>
    <row r="63" spans="2:20" x14ac:dyDescent="0.2">
      <c r="B63" s="43"/>
      <c r="C63" s="2"/>
      <c r="D63" s="38"/>
      <c r="E63" s="3"/>
      <c r="F63" s="2"/>
      <c r="G63" s="2"/>
      <c r="H63" s="2"/>
      <c r="I63" s="2"/>
      <c r="J63" s="2"/>
      <c r="K63" s="2"/>
      <c r="L63" s="2"/>
      <c r="M63" s="2"/>
      <c r="N63" s="2"/>
      <c r="O63" s="2"/>
      <c r="P63" s="2"/>
      <c r="Q63" s="2"/>
      <c r="R63" s="2"/>
      <c r="S63" s="2"/>
      <c r="T63" s="2"/>
    </row>
    <row r="64" spans="2:20" x14ac:dyDescent="0.2">
      <c r="B64" s="43"/>
      <c r="C64" s="2"/>
      <c r="D64" s="38"/>
      <c r="E64" s="3"/>
      <c r="F64" s="2"/>
      <c r="G64" s="2"/>
      <c r="H64" s="2"/>
      <c r="I64" s="2"/>
      <c r="J64" s="2"/>
      <c r="K64" s="2"/>
      <c r="L64" s="2"/>
      <c r="M64" s="2"/>
      <c r="N64" s="2"/>
      <c r="O64" s="2"/>
      <c r="P64" s="2"/>
      <c r="Q64" s="2"/>
      <c r="R64" s="2"/>
      <c r="S64" s="2"/>
      <c r="T64" s="2"/>
    </row>
    <row r="65" spans="2:20" x14ac:dyDescent="0.2">
      <c r="B65" s="43"/>
      <c r="C65" s="2"/>
      <c r="D65" s="38"/>
      <c r="E65" s="3"/>
      <c r="F65" s="2"/>
      <c r="G65" s="2"/>
      <c r="H65" s="2"/>
      <c r="I65" s="2"/>
      <c r="J65" s="2"/>
      <c r="K65" s="2"/>
      <c r="L65" s="2"/>
      <c r="M65" s="2"/>
      <c r="N65" s="2"/>
      <c r="O65" s="2"/>
      <c r="P65" s="2"/>
      <c r="Q65" s="2"/>
      <c r="R65" s="2"/>
      <c r="S65" s="2"/>
      <c r="T65" s="2"/>
    </row>
    <row r="66" spans="2:20" x14ac:dyDescent="0.2">
      <c r="B66" s="43"/>
      <c r="C66" s="2"/>
      <c r="D66" s="38"/>
      <c r="E66" s="3"/>
      <c r="F66" s="2"/>
      <c r="G66" s="2"/>
      <c r="H66" s="2"/>
      <c r="I66" s="2"/>
      <c r="J66" s="2"/>
      <c r="K66" s="2"/>
      <c r="L66" s="2"/>
      <c r="M66" s="2"/>
      <c r="N66" s="2"/>
      <c r="O66" s="2"/>
      <c r="P66" s="2"/>
      <c r="Q66" s="2"/>
      <c r="R66" s="2"/>
      <c r="S66" s="2"/>
      <c r="T66" s="2"/>
    </row>
    <row r="67" spans="2:20" x14ac:dyDescent="0.2">
      <c r="B67" s="43"/>
      <c r="C67" s="2"/>
      <c r="D67" s="38"/>
      <c r="E67" s="3"/>
      <c r="F67" s="2"/>
      <c r="G67" s="2"/>
      <c r="H67" s="2"/>
      <c r="I67" s="2"/>
      <c r="J67" s="2"/>
      <c r="K67" s="2"/>
    </row>
    <row r="68" spans="2:20" x14ac:dyDescent="0.2">
      <c r="B68" s="43"/>
      <c r="C68" s="2"/>
      <c r="D68" s="38"/>
      <c r="E68" s="3"/>
      <c r="F68" s="2"/>
      <c r="G68" s="2"/>
      <c r="H68" s="2"/>
      <c r="I68" s="2"/>
      <c r="J68" s="2"/>
      <c r="K68" s="2"/>
    </row>
    <row r="69" spans="2:20" x14ac:dyDescent="0.2">
      <c r="B69" s="43"/>
      <c r="C69" s="2"/>
      <c r="D69" s="38"/>
      <c r="E69" s="3"/>
      <c r="F69" s="2"/>
      <c r="G69" s="2"/>
      <c r="H69" s="2"/>
      <c r="I69" s="2"/>
      <c r="J69" s="2"/>
      <c r="K69" s="2"/>
    </row>
    <row r="70" spans="2:20" x14ac:dyDescent="0.2">
      <c r="B70" s="43"/>
      <c r="C70" s="2"/>
      <c r="D70" s="38"/>
      <c r="E70" s="3"/>
      <c r="F70" s="2"/>
      <c r="G70" s="2"/>
      <c r="H70" s="2"/>
      <c r="I70" s="2"/>
      <c r="J70" s="2"/>
      <c r="K70" s="2"/>
    </row>
    <row r="71" spans="2:20" x14ac:dyDescent="0.2">
      <c r="B71" s="43"/>
      <c r="C71" s="2"/>
      <c r="D71" s="38"/>
      <c r="E71" s="3"/>
      <c r="F71" s="2"/>
      <c r="G71" s="2"/>
      <c r="H71" s="2"/>
      <c r="I71" s="2"/>
      <c r="J71" s="2"/>
      <c r="K71" s="2"/>
    </row>
    <row r="72" spans="2:20" x14ac:dyDescent="0.2">
      <c r="B72" s="43"/>
      <c r="C72" s="2"/>
      <c r="D72" s="38"/>
      <c r="E72" s="3"/>
      <c r="F72" s="2"/>
      <c r="G72" s="2"/>
      <c r="H72" s="2"/>
      <c r="I72" s="2"/>
      <c r="J72" s="2"/>
      <c r="K72" s="2"/>
    </row>
    <row r="73" spans="2:20" x14ac:dyDescent="0.2">
      <c r="B73" s="43"/>
      <c r="C73" s="2"/>
      <c r="D73" s="38"/>
      <c r="E73" s="3"/>
      <c r="F73" s="2"/>
      <c r="G73" s="2"/>
      <c r="H73" s="2"/>
      <c r="I73" s="2"/>
      <c r="J73" s="2"/>
      <c r="K73" s="2"/>
    </row>
    <row r="74" spans="2:20" x14ac:dyDescent="0.2">
      <c r="B74" s="43"/>
      <c r="C74" s="2"/>
      <c r="D74" s="38"/>
      <c r="E74" s="3"/>
      <c r="F74" s="2"/>
      <c r="G74" s="2"/>
      <c r="H74" s="2"/>
      <c r="I74" s="2"/>
      <c r="J74" s="2"/>
      <c r="K74" s="2"/>
    </row>
    <row r="75" spans="2:20" x14ac:dyDescent="0.2">
      <c r="B75" s="43"/>
      <c r="C75" s="2"/>
      <c r="D75" s="38"/>
      <c r="E75" s="3"/>
      <c r="F75" s="2"/>
      <c r="G75" s="2"/>
      <c r="H75" s="2"/>
      <c r="I75" s="2"/>
      <c r="J75" s="2"/>
      <c r="K75" s="2"/>
    </row>
    <row r="76" spans="2:20" x14ac:dyDescent="0.2">
      <c r="B76" s="43"/>
      <c r="C76" s="2"/>
      <c r="D76" s="38"/>
      <c r="E76" s="3"/>
      <c r="F76" s="2"/>
      <c r="G76" s="2"/>
      <c r="H76" s="2"/>
      <c r="I76" s="2"/>
      <c r="J76" s="2"/>
      <c r="K76" s="2"/>
    </row>
    <row r="77" spans="2:20" x14ac:dyDescent="0.2">
      <c r="B77" s="43"/>
      <c r="C77" s="2"/>
      <c r="D77" s="38"/>
      <c r="E77" s="3"/>
      <c r="F77" s="2"/>
      <c r="G77" s="2"/>
      <c r="H77" s="2"/>
      <c r="I77" s="2"/>
      <c r="J77" s="2"/>
      <c r="K77" s="2"/>
    </row>
    <row r="78" spans="2:20" x14ac:dyDescent="0.2">
      <c r="B78" s="43"/>
      <c r="C78" s="2"/>
      <c r="D78" s="38"/>
      <c r="E78" s="3"/>
      <c r="F78" s="2"/>
      <c r="G78" s="2"/>
      <c r="H78" s="2"/>
      <c r="I78" s="2"/>
      <c r="J78" s="2"/>
      <c r="K78" s="2"/>
    </row>
    <row r="79" spans="2:20" x14ac:dyDescent="0.2">
      <c r="B79" s="43"/>
      <c r="C79" s="2"/>
      <c r="D79" s="38"/>
      <c r="E79" s="3"/>
      <c r="F79" s="2"/>
      <c r="G79" s="2"/>
      <c r="H79" s="2"/>
      <c r="I79" s="2"/>
      <c r="J79" s="2"/>
      <c r="K79" s="2"/>
    </row>
    <row r="80" spans="2:20" x14ac:dyDescent="0.2">
      <c r="B80" s="43"/>
      <c r="C80" s="2"/>
      <c r="D80" s="38"/>
      <c r="E80" s="3"/>
      <c r="F80" s="2"/>
      <c r="G80" s="2"/>
      <c r="H80" s="2"/>
      <c r="I80" s="2"/>
      <c r="J80" s="2"/>
      <c r="K80" s="2"/>
    </row>
    <row r="81" spans="2:11" x14ac:dyDescent="0.2">
      <c r="B81" s="43"/>
      <c r="C81" s="2"/>
      <c r="D81" s="38"/>
      <c r="E81" s="3"/>
      <c r="F81" s="2"/>
      <c r="G81" s="2"/>
      <c r="H81" s="2"/>
      <c r="I81" s="2"/>
      <c r="J81" s="2"/>
      <c r="K81" s="2"/>
    </row>
    <row r="82" spans="2:11" x14ac:dyDescent="0.2">
      <c r="B82" s="43"/>
      <c r="C82" s="2"/>
      <c r="D82" s="38"/>
      <c r="E82" s="3"/>
      <c r="F82" s="2"/>
      <c r="G82" s="2"/>
      <c r="H82" s="2"/>
      <c r="I82" s="2"/>
      <c r="J82" s="2"/>
      <c r="K82" s="2"/>
    </row>
  </sheetData>
  <conditionalFormatting sqref="D11:D14 D16:D17 D19:D21 D23 D25:D26 D28:D29 D31:D32 D34:D36 D38:D40 D42:D44 D46:D48 D50:D1048576">
    <cfRule type="cellIs" dxfId="0" priority="1" operator="equal">
      <formula>10</formula>
    </cfRule>
  </conditionalFormatting>
  <dataValidations count="1">
    <dataValidation type="list" allowBlank="1" showInputMessage="1" showErrorMessage="1" sqref="D16:D17 D11:D14 D25:D26 D23 D19:D21 D28:D29 D31:D32 D34:D36 D38:D40 D42:D44 D46:D48 D50:D51" xr:uid="{39A48FCA-93B5-4FC7-8A4D-4FF7E4AD13F1}">
      <formula1>"0,1,2,3,4,5,6,7,8,9,10"</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D5C97-8772-4578-B1C0-F2F6DBE2F04D}">
  <dimension ref="A1:G16"/>
  <sheetViews>
    <sheetView workbookViewId="0">
      <selection activeCell="E19" sqref="E19"/>
    </sheetView>
  </sheetViews>
  <sheetFormatPr baseColWidth="10" defaultColWidth="8.83203125" defaultRowHeight="15" x14ac:dyDescent="0.2"/>
  <cols>
    <col min="2" max="2" width="64.1640625" bestFit="1" customWidth="1"/>
    <col min="3" max="3" width="40.5" customWidth="1"/>
    <col min="5" max="5" width="93.5" customWidth="1"/>
    <col min="6" max="6" width="14.1640625" customWidth="1"/>
  </cols>
  <sheetData>
    <row r="1" spans="1:7" x14ac:dyDescent="0.2">
      <c r="A1" s="6"/>
      <c r="B1" s="6"/>
      <c r="C1" s="6"/>
      <c r="D1" s="6"/>
      <c r="E1" s="6"/>
      <c r="F1" s="6"/>
      <c r="G1" s="6"/>
    </row>
    <row r="2" spans="1:7" ht="28" x14ac:dyDescent="0.3">
      <c r="A2" s="6"/>
      <c r="B2" s="86" t="s">
        <v>89</v>
      </c>
      <c r="C2" s="86"/>
      <c r="D2" s="6"/>
      <c r="E2" s="6"/>
      <c r="F2" s="6"/>
      <c r="G2" s="6"/>
    </row>
    <row r="3" spans="1:7" x14ac:dyDescent="0.2">
      <c r="A3" s="6"/>
      <c r="B3" s="7"/>
      <c r="C3" s="7"/>
      <c r="D3" s="6"/>
      <c r="E3" s="6"/>
      <c r="F3" s="6"/>
      <c r="G3" s="6"/>
    </row>
    <row r="4" spans="1:7" ht="20" x14ac:dyDescent="0.2">
      <c r="A4" s="6"/>
      <c r="B4" s="8" t="s">
        <v>90</v>
      </c>
      <c r="C4" s="9">
        <v>1000</v>
      </c>
      <c r="D4" s="6"/>
      <c r="E4" s="10" t="s">
        <v>91</v>
      </c>
      <c r="F4" s="6"/>
      <c r="G4" s="6"/>
    </row>
    <row r="5" spans="1:7" ht="20" x14ac:dyDescent="0.2">
      <c r="A5" s="6"/>
      <c r="B5" s="8" t="s">
        <v>92</v>
      </c>
      <c r="C5" s="11">
        <f>COUNTA('AP Health'!B:B)</f>
        <v>30</v>
      </c>
      <c r="D5" s="6"/>
      <c r="E5" s="12"/>
      <c r="F5" s="12"/>
      <c r="G5" s="6"/>
    </row>
    <row r="6" spans="1:7" ht="30.75" customHeight="1" x14ac:dyDescent="0.2">
      <c r="A6" s="6"/>
      <c r="B6" s="8" t="s">
        <v>93</v>
      </c>
      <c r="C6" s="13">
        <f>(C4/C5)</f>
        <v>33.333333333333336</v>
      </c>
      <c r="D6" s="6"/>
      <c r="E6" s="12" t="s">
        <v>94</v>
      </c>
      <c r="F6" s="12"/>
      <c r="G6" s="6"/>
    </row>
    <row r="7" spans="1:7" ht="21" thickBot="1" x14ac:dyDescent="0.25">
      <c r="A7" s="6"/>
      <c r="B7" s="8" t="s">
        <v>95</v>
      </c>
      <c r="C7" s="14">
        <f>COUNTIF('AP Health'!D:D,"10")</f>
        <v>0</v>
      </c>
      <c r="D7" s="6"/>
      <c r="E7" s="12"/>
      <c r="F7" s="15"/>
      <c r="G7" s="6"/>
    </row>
    <row r="8" spans="1:7" ht="21" thickBot="1" x14ac:dyDescent="0.25">
      <c r="A8" s="6"/>
      <c r="B8" s="8" t="s">
        <v>96</v>
      </c>
      <c r="C8" s="16">
        <f>C7*C6</f>
        <v>0</v>
      </c>
      <c r="D8" s="6"/>
      <c r="E8" s="17"/>
      <c r="F8" s="15"/>
      <c r="G8" s="6"/>
    </row>
    <row r="9" spans="1:7" ht="21" thickBot="1" x14ac:dyDescent="0.25">
      <c r="A9" s="6"/>
      <c r="B9" s="18"/>
      <c r="C9" s="18"/>
      <c r="D9" s="6"/>
      <c r="E9" s="12"/>
      <c r="F9" s="15"/>
      <c r="G9" s="6"/>
    </row>
    <row r="10" spans="1:7" ht="21" thickBot="1" x14ac:dyDescent="0.25">
      <c r="A10" s="6"/>
      <c r="B10" s="8" t="s">
        <v>97</v>
      </c>
      <c r="C10" s="19">
        <v>14000</v>
      </c>
      <c r="D10" s="6"/>
      <c r="E10" s="12"/>
      <c r="F10" s="15"/>
      <c r="G10" s="6"/>
    </row>
    <row r="11" spans="1:7" ht="23.25" customHeight="1" thickBot="1" x14ac:dyDescent="0.25">
      <c r="A11" s="6"/>
      <c r="B11" s="8" t="s">
        <v>98</v>
      </c>
      <c r="C11" s="20">
        <f>C10/C4*C8</f>
        <v>0</v>
      </c>
      <c r="D11" s="6"/>
      <c r="E11" s="12" t="s">
        <v>99</v>
      </c>
      <c r="F11" s="15"/>
      <c r="G11" s="6"/>
    </row>
    <row r="12" spans="1:7" ht="21" thickBot="1" x14ac:dyDescent="0.25">
      <c r="A12" s="6"/>
      <c r="B12" s="18"/>
      <c r="C12" s="18"/>
      <c r="D12" s="6"/>
      <c r="E12" s="12"/>
      <c r="F12" s="15"/>
      <c r="G12" s="6"/>
    </row>
    <row r="13" spans="1:7" ht="21" thickBot="1" x14ac:dyDescent="0.25">
      <c r="A13" s="6"/>
      <c r="B13" s="8" t="s">
        <v>100</v>
      </c>
      <c r="C13" s="21">
        <f>(C10-C11/2)</f>
        <v>14000</v>
      </c>
      <c r="D13" s="6"/>
      <c r="E13" s="12"/>
      <c r="F13" s="15"/>
      <c r="G13" s="6"/>
    </row>
    <row r="14" spans="1:7" ht="16" thickBot="1" x14ac:dyDescent="0.25">
      <c r="A14" s="6"/>
      <c r="B14" s="6"/>
      <c r="C14" s="6"/>
      <c r="D14" s="6"/>
      <c r="E14" s="22"/>
      <c r="F14" s="23"/>
      <c r="G14" s="6"/>
    </row>
    <row r="15" spans="1:7" ht="22" thickBot="1" x14ac:dyDescent="0.3">
      <c r="A15" s="6"/>
      <c r="B15" s="24" t="s">
        <v>101</v>
      </c>
      <c r="C15" s="25">
        <f>SUM(C10-C13)</f>
        <v>0</v>
      </c>
      <c r="D15" s="6"/>
      <c r="E15" s="6"/>
      <c r="F15" s="6"/>
      <c r="G15" s="6"/>
    </row>
    <row r="16" spans="1:7" ht="22" thickBot="1" x14ac:dyDescent="0.3">
      <c r="B16" s="24" t="s">
        <v>102</v>
      </c>
      <c r="C16" s="26">
        <f>SUM(C15/$C$10)</f>
        <v>0</v>
      </c>
    </row>
  </sheetData>
  <protectedRanges>
    <protectedRange sqref="C4" name="Range1"/>
    <protectedRange sqref="C5" name="Range2"/>
    <protectedRange sqref="C7" name="Range3"/>
    <protectedRange sqref="C10" name="Range4"/>
  </protectedRanges>
  <mergeCells count="1">
    <mergeCell ref="B2:C2"/>
  </mergeCell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fb81ae1-93a5-4212-b739-d30e8e4e982f" xsi:nil="true"/>
    <lcf76f155ced4ddcb4097134ff3c332f xmlns="ef963d03-843e-4431-a8ce-1379c9201e32">
      <Terms xmlns="http://schemas.microsoft.com/office/infopath/2007/PartnerControls"/>
    </lcf76f155ced4ddcb4097134ff3c332f>
    <SharedWithUsers xmlns="dfb81ae1-93a5-4212-b739-d30e8e4e982f">
      <UserInfo>
        <DisplayName>Matt Moody</DisplayName>
        <AccountId>843</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26EF984C91B134CB333EA712C530699" ma:contentTypeVersion="19" ma:contentTypeDescription="Create a new document." ma:contentTypeScope="" ma:versionID="2c0a932c67b469f173a8ae906addc3f5">
  <xsd:schema xmlns:xsd="http://www.w3.org/2001/XMLSchema" xmlns:xs="http://www.w3.org/2001/XMLSchema" xmlns:p="http://schemas.microsoft.com/office/2006/metadata/properties" xmlns:ns2="ef963d03-843e-4431-a8ce-1379c9201e32" xmlns:ns3="dfb81ae1-93a5-4212-b739-d30e8e4e982f" targetNamespace="http://schemas.microsoft.com/office/2006/metadata/properties" ma:root="true" ma:fieldsID="3de48dd03b6e6e57f50a83ab6b33dde7" ns2:_="" ns3:_="">
    <xsd:import namespace="ef963d03-843e-4431-a8ce-1379c9201e32"/>
    <xsd:import namespace="dfb81ae1-93a5-4212-b739-d30e8e4e982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963d03-843e-4431-a8ce-1379c9201e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6868488-42a1-4ae7-ad5a-0907fd6e26b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fb81ae1-93a5-4212-b739-d30e8e4e982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147450b7-673e-433e-8487-5d91669135af}" ma:internalName="TaxCatchAll" ma:showField="CatchAllData" ma:web="dfb81ae1-93a5-4212-b739-d30e8e4e98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6D3126-3BF7-436E-B298-809535BE7926}">
  <ds:schemaRefs>
    <ds:schemaRef ds:uri="http://schemas.microsoft.com/sharepoint/v3/contenttype/forms"/>
  </ds:schemaRefs>
</ds:datastoreItem>
</file>

<file path=customXml/itemProps2.xml><?xml version="1.0" encoding="utf-8"?>
<ds:datastoreItem xmlns:ds="http://schemas.openxmlformats.org/officeDocument/2006/customXml" ds:itemID="{865798AA-D056-4067-A0C4-E4A29183075C}">
  <ds:schemaRefs>
    <ds:schemaRef ds:uri="http://purl.org/dc/dcmitype/"/>
    <ds:schemaRef ds:uri="dfb81ae1-93a5-4212-b739-d30e8e4e982f"/>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ef963d03-843e-4431-a8ce-1379c9201e32"/>
    <ds:schemaRef ds:uri="http://www.w3.org/XML/1998/namespace"/>
    <ds:schemaRef ds:uri="http://purl.org/dc/terms/"/>
  </ds:schemaRefs>
</ds:datastoreItem>
</file>

<file path=customXml/itemProps3.xml><?xml version="1.0" encoding="utf-8"?>
<ds:datastoreItem xmlns:ds="http://schemas.openxmlformats.org/officeDocument/2006/customXml" ds:itemID="{154536F9-BDED-4024-B32B-77872EB969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963d03-843e-4431-a8ce-1379c9201e32"/>
    <ds:schemaRef ds:uri="dfb81ae1-93a5-4212-b739-d30e8e4e98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AP Health</vt:lpstr>
      <vt:lpstr>RPL Calculator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Jordan Keen</dc:creator>
  <cp:keywords/>
  <dc:description/>
  <cp:lastModifiedBy>Daniel Tagg</cp:lastModifiedBy>
  <cp:revision/>
  <dcterms:created xsi:type="dcterms:W3CDTF">2023-04-24T16:17:42Z</dcterms:created>
  <dcterms:modified xsi:type="dcterms:W3CDTF">2026-07-17T10:10:45Z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0x010100126EF984C91B134CB333EA712C530699</vt:lpwstr>
  </property>
  <property fmtid="{D5CDD505-2E9C-101B-9397-08002B2CF9AE}" pid="3" name="MediaServiceImageTags">
    <vt:lpwstr/>
  </property>
</Properties>
</file>